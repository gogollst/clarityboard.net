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https://andagongmbh-my.sharepoint.com/personal/t_osmakova_andagon_com/Documents/Microsoft Teams-Chatdateien/"/>
    </mc:Choice>
  </mc:AlternateContent>
  <xr:revisionPtr revIDLastSave="209" documentId="8_{8B81A70C-CB8C-434D-83DA-7E425537A58B}" xr6:coauthVersionLast="47" xr6:coauthVersionMax="47" xr10:uidLastSave="{D70FD4E9-4F54-3A4C-8C4D-CD3A5D9ADB23}"/>
  <bookViews>
    <workbookView xWindow="31160" yWindow="820" windowWidth="29400" windowHeight="18460" xr2:uid="{CE7B38E7-D4A0-48AC-83C1-3657A62DFB4B}"/>
  </bookViews>
  <sheets>
    <sheet name="Buchungen" sheetId="4" r:id="rId1"/>
    <sheet name="BWA" sheetId="1" r:id="rId2"/>
    <sheet name="Kostenstellen" sheetId="5" r:id="rId3"/>
  </sheets>
  <definedNames>
    <definedName name="_xlnm._FilterDatabase" localSheetId="0" hidden="1">Buchungen!$A$3:$I$2251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4" l="1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2108" i="4"/>
  <c r="I2109" i="4"/>
  <c r="I2110" i="4"/>
  <c r="I2111" i="4"/>
  <c r="I2112" i="4"/>
  <c r="I2113" i="4"/>
  <c r="I2114" i="4"/>
  <c r="I2115" i="4"/>
  <c r="I2116" i="4"/>
  <c r="I2117" i="4"/>
  <c r="I2118" i="4"/>
  <c r="I2119" i="4"/>
  <c r="I2120" i="4"/>
  <c r="I2121" i="4"/>
  <c r="I2122" i="4"/>
  <c r="I2123" i="4"/>
  <c r="I2124" i="4"/>
  <c r="I2125" i="4"/>
  <c r="I2126" i="4"/>
  <c r="I2127" i="4"/>
  <c r="I2128" i="4"/>
  <c r="I2129" i="4"/>
  <c r="I2130" i="4"/>
  <c r="I2131" i="4"/>
  <c r="I2132" i="4"/>
  <c r="I2133" i="4"/>
  <c r="I2134" i="4"/>
  <c r="I2135" i="4"/>
  <c r="I2136" i="4"/>
  <c r="I2137" i="4"/>
  <c r="I2138" i="4"/>
  <c r="I2139" i="4"/>
  <c r="I2140" i="4"/>
  <c r="I2141" i="4"/>
  <c r="I2142" i="4"/>
  <c r="I2143" i="4"/>
  <c r="I2144" i="4"/>
  <c r="I2145" i="4"/>
  <c r="I2146" i="4"/>
  <c r="I2147" i="4"/>
  <c r="I2148" i="4"/>
  <c r="I2149" i="4"/>
  <c r="I2150" i="4"/>
  <c r="I2151" i="4"/>
  <c r="I2152" i="4"/>
  <c r="I2153" i="4"/>
  <c r="I2154" i="4"/>
  <c r="I2155" i="4"/>
  <c r="I2156" i="4"/>
  <c r="I2157" i="4"/>
  <c r="I2158" i="4"/>
  <c r="I2159" i="4"/>
  <c r="I2160" i="4"/>
  <c r="I2161" i="4"/>
  <c r="I2162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250" i="4"/>
  <c r="I2251" i="4"/>
  <c r="I4" i="4"/>
</calcChain>
</file>

<file path=xl/sharedStrings.xml><?xml version="1.0" encoding="utf-8"?>
<sst xmlns="http://schemas.openxmlformats.org/spreadsheetml/2006/main" count="4311" uniqueCount="2090">
  <si>
    <t>2025 aqua cloud</t>
  </si>
  <si>
    <t>Konto/BWA</t>
  </si>
  <si>
    <t>Datum</t>
  </si>
  <si>
    <t>Buchungstext</t>
  </si>
  <si>
    <t>Belegfeld1</t>
  </si>
  <si>
    <t>Ausgaben</t>
  </si>
  <si>
    <t>Einnahmen</t>
  </si>
  <si>
    <t>Kostenstellen</t>
  </si>
  <si>
    <t>Leistungsdatum</t>
  </si>
  <si>
    <t>Kostenstelle</t>
  </si>
  <si>
    <t>Technext - Software Engineer 01.2025</t>
  </si>
  <si>
    <t>Shevchenko 01.2025</t>
  </si>
  <si>
    <t>010522-250201</t>
  </si>
  <si>
    <t>Bessmertnyy 01.2025</t>
  </si>
  <si>
    <t>041021-250201</t>
  </si>
  <si>
    <t>Marynkevych 01.2025</t>
  </si>
  <si>
    <t>090124-250201</t>
  </si>
  <si>
    <t>MZA 01.2025</t>
  </si>
  <si>
    <t>091023-250201</t>
  </si>
  <si>
    <t>Madiyar Solutions 01.2025</t>
  </si>
  <si>
    <t>091224-250201</t>
  </si>
  <si>
    <t>Savchenko 01.2025</t>
  </si>
  <si>
    <t>130125-250203</t>
  </si>
  <si>
    <t>Weissgerber 01.2025</t>
  </si>
  <si>
    <t>160924-250201</t>
  </si>
  <si>
    <t>Chebyshev 01.2025</t>
  </si>
  <si>
    <t>201222-250201</t>
  </si>
  <si>
    <t>Shuja 01.2025</t>
  </si>
  <si>
    <t>220701-250201</t>
  </si>
  <si>
    <t>Almasi 01.2025</t>
  </si>
  <si>
    <t>220702-250201</t>
  </si>
  <si>
    <t>Kazymov 01.2025</t>
  </si>
  <si>
    <t>230924-250201</t>
  </si>
  <si>
    <t>Chadin 01.2025</t>
  </si>
  <si>
    <t>25180422-250201</t>
  </si>
  <si>
    <t>Vetkhov 01.2025</t>
  </si>
  <si>
    <t>270323-250201</t>
  </si>
  <si>
    <t>Mashynson 01.2025</t>
  </si>
  <si>
    <t>290724-250201</t>
  </si>
  <si>
    <t>Mykhailov 01.2025</t>
  </si>
  <si>
    <t>060125-250203</t>
  </si>
  <si>
    <t>andagon people - Schulung</t>
  </si>
  <si>
    <t>Technext - Software Engineer 02.2025</t>
  </si>
  <si>
    <t>Bessmertnyy 02.2025</t>
  </si>
  <si>
    <t>041021-250301</t>
  </si>
  <si>
    <t>Mykhailov 02.2025</t>
  </si>
  <si>
    <t>060125-250301</t>
  </si>
  <si>
    <t>Marynkevych 02.2025</t>
  </si>
  <si>
    <t>090124-250301</t>
  </si>
  <si>
    <t>MZA 02.2025</t>
  </si>
  <si>
    <t>091023-250301</t>
  </si>
  <si>
    <t>Madiyar Solutions 02.2025</t>
  </si>
  <si>
    <t>091224-250301</t>
  </si>
  <si>
    <t>Savchenko 02.2025</t>
  </si>
  <si>
    <t>130125-250301</t>
  </si>
  <si>
    <t>Weissgerber 02.2025</t>
  </si>
  <si>
    <t>160924-250301</t>
  </si>
  <si>
    <t>02.2025 Chebyshev</t>
  </si>
  <si>
    <t>201222-250301</t>
  </si>
  <si>
    <t>Shuja 02.2025</t>
  </si>
  <si>
    <t>220701-250301</t>
  </si>
  <si>
    <t>02.2025 Almasi</t>
  </si>
  <si>
    <t>220702-250301</t>
  </si>
  <si>
    <t>Kazymov 02.2025</t>
  </si>
  <si>
    <t>230924-250301</t>
  </si>
  <si>
    <t>Chadin 02.2025</t>
  </si>
  <si>
    <t>25180422-250301</t>
  </si>
  <si>
    <t>Vetkhov 02.2025</t>
  </si>
  <si>
    <t>270323-250301</t>
  </si>
  <si>
    <t>Mashynson 02.2025</t>
  </si>
  <si>
    <t>290724-250301</t>
  </si>
  <si>
    <t>andagon people - Schulung 07.2025</t>
  </si>
  <si>
    <t>Technext - Software Engineer 03.2025</t>
  </si>
  <si>
    <t>Bessmertnyy 03.2025</t>
  </si>
  <si>
    <t>041021-250401</t>
  </si>
  <si>
    <t>Mykhailov 03.2025</t>
  </si>
  <si>
    <t>060125-250401</t>
  </si>
  <si>
    <t>Marynkevych 03.2025</t>
  </si>
  <si>
    <t>090124-250401</t>
  </si>
  <si>
    <t>MZA 03.2025</t>
  </si>
  <si>
    <t>091023-250401</t>
  </si>
  <si>
    <t>Madiyar Solutions 03.2025</t>
  </si>
  <si>
    <t>091224-250401</t>
  </si>
  <si>
    <t>Savchenko 03.2025</t>
  </si>
  <si>
    <t>130125-250401</t>
  </si>
  <si>
    <t>Weissgerber 03.2025</t>
  </si>
  <si>
    <t>160924-250401</t>
  </si>
  <si>
    <t>Chebyshev 03.2025</t>
  </si>
  <si>
    <t>201222-250401</t>
  </si>
  <si>
    <t>Shuja 03.2025</t>
  </si>
  <si>
    <t>220701-250401</t>
  </si>
  <si>
    <t>Almasi 03.2025</t>
  </si>
  <si>
    <t>220702-250401</t>
  </si>
  <si>
    <t>Kazymov 03.2025</t>
  </si>
  <si>
    <t>230924-250401</t>
  </si>
  <si>
    <t>Chadin 03.2025</t>
  </si>
  <si>
    <t>25180422-250401</t>
  </si>
  <si>
    <t>Vetkhov 03.2025</t>
  </si>
  <si>
    <t>270323-250401</t>
  </si>
  <si>
    <t>Mashynson 03.2025</t>
  </si>
  <si>
    <t>290724-250401</t>
  </si>
  <si>
    <t>Technext - Software Engineer 04.2025</t>
  </si>
  <si>
    <t>Edhars Ternovyi 04.2025</t>
  </si>
  <si>
    <t>010321-250501</t>
  </si>
  <si>
    <t>Mykhailov 04.2025</t>
  </si>
  <si>
    <t>060125-250501</t>
  </si>
  <si>
    <t>Marynkevych 04.2025</t>
  </si>
  <si>
    <t>090124-250501</t>
  </si>
  <si>
    <t>MZA 04.2025</t>
  </si>
  <si>
    <t>091023-250505</t>
  </si>
  <si>
    <t>Madiyar Solutions 04.2025</t>
  </si>
  <si>
    <t>091224-250501</t>
  </si>
  <si>
    <t>Savchenko 04.2025</t>
  </si>
  <si>
    <t>130125-250501</t>
  </si>
  <si>
    <t>Weissgerber 04.2025</t>
  </si>
  <si>
    <t>160924-250501</t>
  </si>
  <si>
    <t>Chebyshev 04.2025</t>
  </si>
  <si>
    <t>201222-250501</t>
  </si>
  <si>
    <t>Shuja 04.2025</t>
  </si>
  <si>
    <t>220701-250501</t>
  </si>
  <si>
    <t>Almasi 04.2025</t>
  </si>
  <si>
    <t>220702-250501</t>
  </si>
  <si>
    <t>Kazymov 04.2025</t>
  </si>
  <si>
    <t>230924-250501</t>
  </si>
  <si>
    <t>Chadin 04.2025</t>
  </si>
  <si>
    <t>25180422-250501</t>
  </si>
  <si>
    <t>Vetkhov 04.2025</t>
  </si>
  <si>
    <t>270323-250501</t>
  </si>
  <si>
    <t>Mashynson 04.2025</t>
  </si>
  <si>
    <t>290724-250501</t>
  </si>
  <si>
    <t>Technext - Software Engineer 05.2025</t>
  </si>
  <si>
    <t>Mykhailov 05.2025</t>
  </si>
  <si>
    <t>060125-250601</t>
  </si>
  <si>
    <t>Marynkevych 05.2025</t>
  </si>
  <si>
    <t>090124-250601</t>
  </si>
  <si>
    <t>MZA 05.2025</t>
  </si>
  <si>
    <t>091023-250601</t>
  </si>
  <si>
    <t>Savchenko 05.2025</t>
  </si>
  <si>
    <t>130125-250601</t>
  </si>
  <si>
    <t>Weissgerber 05.2025</t>
  </si>
  <si>
    <t>160924-250601</t>
  </si>
  <si>
    <t>Chebyshev 05.2025</t>
  </si>
  <si>
    <t>201222-250601</t>
  </si>
  <si>
    <t>Shuja 05.2025</t>
  </si>
  <si>
    <t>220701-250601</t>
  </si>
  <si>
    <t>Almasi 05.2025</t>
  </si>
  <si>
    <t>220702-250601</t>
  </si>
  <si>
    <t>Kazymov 05.2025</t>
  </si>
  <si>
    <t>230924-250601</t>
  </si>
  <si>
    <t>Chadin 05.2025</t>
  </si>
  <si>
    <t>25180422-250601</t>
  </si>
  <si>
    <t>Vetkhov 05.2025</t>
  </si>
  <si>
    <t>270323-250601</t>
  </si>
  <si>
    <t>Mashynson 05.2025</t>
  </si>
  <si>
    <t>290724-250601</t>
  </si>
  <si>
    <t>Buhun 05.2025</t>
  </si>
  <si>
    <t>120525-250602</t>
  </si>
  <si>
    <t>Technext - Software Engineer 06.2025</t>
  </si>
  <si>
    <t>Edhars Ternovyi 06.2025</t>
  </si>
  <si>
    <t>010321-250701</t>
  </si>
  <si>
    <t>Panko 06.2025</t>
  </si>
  <si>
    <t>020625-250701</t>
  </si>
  <si>
    <t>Mykhalov 06.2025</t>
  </si>
  <si>
    <t>060125-250701</t>
  </si>
  <si>
    <t>Marynkevych 06.2025</t>
  </si>
  <si>
    <t>090124-250701</t>
  </si>
  <si>
    <t>MZA 06.2025</t>
  </si>
  <si>
    <t>091023-250701</t>
  </si>
  <si>
    <t>Buhun 06.2025</t>
  </si>
  <si>
    <t>120525-250701</t>
  </si>
  <si>
    <t>Savchenko 06.2025</t>
  </si>
  <si>
    <t>130125-250701</t>
  </si>
  <si>
    <t>Weissgerber 06.2025</t>
  </si>
  <si>
    <t>160924-250701</t>
  </si>
  <si>
    <t>Chebyshev 06.2025</t>
  </si>
  <si>
    <t>201222-250701</t>
  </si>
  <si>
    <t>Shuja 06.2025</t>
  </si>
  <si>
    <t>220701-250701</t>
  </si>
  <si>
    <t>Almasi 06.2025</t>
  </si>
  <si>
    <t>220702-250701</t>
  </si>
  <si>
    <t>Kazymov 06.2025</t>
  </si>
  <si>
    <t>230924-250701</t>
  </si>
  <si>
    <t>Chadin 06.2025</t>
  </si>
  <si>
    <t>25180422-250701</t>
  </si>
  <si>
    <t>Vetkov 06.2025</t>
  </si>
  <si>
    <t>270323-250701</t>
  </si>
  <si>
    <t>Mashynson 06.2025</t>
  </si>
  <si>
    <t>290724-250701</t>
  </si>
  <si>
    <t>Technext - Software Engineer 07.2025</t>
  </si>
  <si>
    <t>Panko 07.2025</t>
  </si>
  <si>
    <t>020625-250801</t>
  </si>
  <si>
    <t>Mykhalov 07.2025</t>
  </si>
  <si>
    <t>060125-250801</t>
  </si>
  <si>
    <t>Marynkevych 07.2025</t>
  </si>
  <si>
    <t>090124-250801</t>
  </si>
  <si>
    <t>MZA 07.2025</t>
  </si>
  <si>
    <t>091023-250801</t>
  </si>
  <si>
    <t>Buhun 07.2025</t>
  </si>
  <si>
    <t>120525-250801</t>
  </si>
  <si>
    <t>Savchenko 07.2025</t>
  </si>
  <si>
    <t>130125-250801</t>
  </si>
  <si>
    <t>Bendyk 07.2025</t>
  </si>
  <si>
    <t>160725-250801</t>
  </si>
  <si>
    <t>Malyk 07.2025</t>
  </si>
  <si>
    <t>Weissgerber 07.2025</t>
  </si>
  <si>
    <t>160924-250801</t>
  </si>
  <si>
    <t>Chebyshev 07.2025</t>
  </si>
  <si>
    <t>201222-250801</t>
  </si>
  <si>
    <t>Almasi 07.2025</t>
  </si>
  <si>
    <t>220702-250801</t>
  </si>
  <si>
    <t>Kazymov 07.2025</t>
  </si>
  <si>
    <t>230924-250801</t>
  </si>
  <si>
    <t>Chadin 07.2025</t>
  </si>
  <si>
    <t>25180422-250801</t>
  </si>
  <si>
    <t>Vetkov 07.2025</t>
  </si>
  <si>
    <t>270323-250801</t>
  </si>
  <si>
    <t>Mashynson 07.2025</t>
  </si>
  <si>
    <t>290724-250801</t>
  </si>
  <si>
    <t>Cert-IT - CTFL Prüfung 2x extern 08.2025</t>
  </si>
  <si>
    <t>2025-R-1618</t>
  </si>
  <si>
    <t>Technext - Software Engineer 08.2025</t>
  </si>
  <si>
    <t>Edhars Ternovyi 08.2025</t>
  </si>
  <si>
    <t>010321-250901</t>
  </si>
  <si>
    <t>Panko 08.2025</t>
  </si>
  <si>
    <t>020625-250901</t>
  </si>
  <si>
    <t>Mykhalov 08.2025</t>
  </si>
  <si>
    <t>060125-250901</t>
  </si>
  <si>
    <t>Marynkevych 08.2025</t>
  </si>
  <si>
    <t>090124-250901</t>
  </si>
  <si>
    <t>MZA 08.2025</t>
  </si>
  <si>
    <t>091023-250901</t>
  </si>
  <si>
    <t>Buhun 08.2025</t>
  </si>
  <si>
    <t>120525-250901</t>
  </si>
  <si>
    <t>Savchenko 08.2025</t>
  </si>
  <si>
    <t>130125-250901</t>
  </si>
  <si>
    <t>Bendyk 08.2025</t>
  </si>
  <si>
    <t>160725-250901</t>
  </si>
  <si>
    <t>Malyk 08.2025</t>
  </si>
  <si>
    <t>Weissgerber 08.2025</t>
  </si>
  <si>
    <t>160924-250901</t>
  </si>
  <si>
    <t>Chebyshev 08.2025</t>
  </si>
  <si>
    <t>201222-250901</t>
  </si>
  <si>
    <t>Almasi 08.2025</t>
  </si>
  <si>
    <t>220702-250901</t>
  </si>
  <si>
    <t>Kazymov 08.2025</t>
  </si>
  <si>
    <t>230924-250901</t>
  </si>
  <si>
    <t>Chadin 08.2025</t>
  </si>
  <si>
    <t>25180422-250901</t>
  </si>
  <si>
    <t>Vetkov 08.2025</t>
  </si>
  <si>
    <t>270323-250901</t>
  </si>
  <si>
    <t>Mashynson 08.2025</t>
  </si>
  <si>
    <t>290724-250901</t>
  </si>
  <si>
    <t>Technext - Software Engineer 09.2025</t>
  </si>
  <si>
    <t>Cert-IT - CTFL Prüfung extern 09.2025</t>
  </si>
  <si>
    <t>2025-R-1718</t>
  </si>
  <si>
    <t>Mykhalov 09.2025</t>
  </si>
  <si>
    <t>060125-251001</t>
  </si>
  <si>
    <t>Marynkevych 09.2025</t>
  </si>
  <si>
    <t>090124-251001</t>
  </si>
  <si>
    <t>MZA 09.2025</t>
  </si>
  <si>
    <t>091023-251001</t>
  </si>
  <si>
    <t>Buhun 09.2025</t>
  </si>
  <si>
    <t>120525-251001</t>
  </si>
  <si>
    <t>Savchenko 09.2025</t>
  </si>
  <si>
    <t>130125-251001</t>
  </si>
  <si>
    <t>Malyk 09.2025</t>
  </si>
  <si>
    <t>160725-251001</t>
  </si>
  <si>
    <t>Bendyk 09.2025</t>
  </si>
  <si>
    <t>Weissgerber 09.2025</t>
  </si>
  <si>
    <t>160924-251001</t>
  </si>
  <si>
    <t>Chebyshev 09.2025</t>
  </si>
  <si>
    <t>201222-251001</t>
  </si>
  <si>
    <t>Almasi 09.2025</t>
  </si>
  <si>
    <t>220702-251001</t>
  </si>
  <si>
    <t>Kazymov 09.2025</t>
  </si>
  <si>
    <t>230924-251001</t>
  </si>
  <si>
    <t>Chadin 09.2025</t>
  </si>
  <si>
    <t>25180422-251001</t>
  </si>
  <si>
    <t>Vetkov 09.2025</t>
  </si>
  <si>
    <t>270323-251001</t>
  </si>
  <si>
    <t>Mashynson 09.2025</t>
  </si>
  <si>
    <t>290724-251001</t>
  </si>
  <si>
    <t>Edhars Ternovyi 09.2025-10.2025</t>
  </si>
  <si>
    <t>010321-251101</t>
  </si>
  <si>
    <t>Mykhalov 10.2025</t>
  </si>
  <si>
    <t>060125-251101</t>
  </si>
  <si>
    <t>Marynkevych 10.2025</t>
  </si>
  <si>
    <t>090124-251101</t>
  </si>
  <si>
    <t>MZA 10.2025</t>
  </si>
  <si>
    <t>091023-251101</t>
  </si>
  <si>
    <t>Buhun 10.2025</t>
  </si>
  <si>
    <t>120525-251101</t>
  </si>
  <si>
    <t>Savchenko 10.2025</t>
  </si>
  <si>
    <t>130125-251101</t>
  </si>
  <si>
    <t>Dubrovskyi 10.2025</t>
  </si>
  <si>
    <t>131025-251103</t>
  </si>
  <si>
    <t>Bendyk 10.2025</t>
  </si>
  <si>
    <t>160725-251101</t>
  </si>
  <si>
    <t>Malyk 10.2025</t>
  </si>
  <si>
    <t>Weissgerber 10.2025</t>
  </si>
  <si>
    <t>160924-251101</t>
  </si>
  <si>
    <t>Chebyshev 10.2025</t>
  </si>
  <si>
    <t>201222-251101</t>
  </si>
  <si>
    <t>Kazymov 10.2025</t>
  </si>
  <si>
    <t>230924-251101</t>
  </si>
  <si>
    <t>Chadin 10.2025</t>
  </si>
  <si>
    <t>25180422-251101</t>
  </si>
  <si>
    <t>Mashynson 10.2025</t>
  </si>
  <si>
    <t>290724-251101</t>
  </si>
  <si>
    <t>Qcentic - Vertrieb 11.2025</t>
  </si>
  <si>
    <t>ANDAQ-01-202511</t>
  </si>
  <si>
    <t>Edhars Ternovyi 11.2025</t>
  </si>
  <si>
    <t>010321-251201</t>
  </si>
  <si>
    <t>Mykhalov 11.2025</t>
  </si>
  <si>
    <t>060125-251201</t>
  </si>
  <si>
    <t>Marynkevych 11.2025</t>
  </si>
  <si>
    <t>090124-251201</t>
  </si>
  <si>
    <t>MZA 11.2025</t>
  </si>
  <si>
    <t>091023-251201</t>
  </si>
  <si>
    <t>Buhun 11.2025</t>
  </si>
  <si>
    <t>120525-251201</t>
  </si>
  <si>
    <t>Savchenko 11.2025</t>
  </si>
  <si>
    <t>130125-251201</t>
  </si>
  <si>
    <t>Dubrovskyi 11.2025</t>
  </si>
  <si>
    <t>131025-251201</t>
  </si>
  <si>
    <t>Malyk 11.2025</t>
  </si>
  <si>
    <t>160725-251201</t>
  </si>
  <si>
    <t>Bendyk 11.2025</t>
  </si>
  <si>
    <t>Weissgerber 11.2025</t>
  </si>
  <si>
    <t>160924-251201</t>
  </si>
  <si>
    <t>Chebyshev 11.2025</t>
  </si>
  <si>
    <t>201222-251201</t>
  </si>
  <si>
    <t>Kazymov 11.2025</t>
  </si>
  <si>
    <t>230924-251201</t>
  </si>
  <si>
    <t>Chadin 11.2025</t>
  </si>
  <si>
    <t>25180422-251201</t>
  </si>
  <si>
    <t>Mashynson 11.2025</t>
  </si>
  <si>
    <t>290724-251201</t>
  </si>
  <si>
    <t>Qcentic - Vertrieb 12.2025</t>
  </si>
  <si>
    <t>ANDAQ-02-202512</t>
  </si>
  <si>
    <t>Mykhailov 12.2025</t>
  </si>
  <si>
    <t>060125-260101</t>
  </si>
  <si>
    <t>Buhun 12.2025</t>
  </si>
  <si>
    <t>120525-260101</t>
  </si>
  <si>
    <t>Dubrovskyi 12.2025</t>
  </si>
  <si>
    <t>131025-260101</t>
  </si>
  <si>
    <t>10.2025 Syntax Solution</t>
  </si>
  <si>
    <t>Ranorex - Trading Hub 2025</t>
  </si>
  <si>
    <t>Q-1746327</t>
  </si>
  <si>
    <t>Ranorex - Endress+Hauser 2025</t>
  </si>
  <si>
    <t>Q-1752428</t>
  </si>
  <si>
    <t>Ranorex</t>
  </si>
  <si>
    <t xml:space="preserve"> </t>
  </si>
  <si>
    <t>Ranorex - KBA 2025</t>
  </si>
  <si>
    <t>Q-1851522</t>
  </si>
  <si>
    <t>Ranorex - Trading Hub 2026-2029</t>
  </si>
  <si>
    <t>Q-1979595</t>
  </si>
  <si>
    <t>Ranorex - Shop-Apotheke 2025-2027</t>
  </si>
  <si>
    <t>Q-2032707</t>
  </si>
  <si>
    <t>Ranorex - Fielmann 2026-2028</t>
  </si>
  <si>
    <t>Q-2036158</t>
  </si>
  <si>
    <t>Ranorex - Crem Solutions 2025-2027</t>
  </si>
  <si>
    <t>Q-1938738</t>
  </si>
  <si>
    <t>Ranorex - Trading Hub 2025-2029</t>
  </si>
  <si>
    <t>Q-2113712</t>
  </si>
  <si>
    <t>Ranorex - KOSTAL 2025-2027</t>
  </si>
  <si>
    <t>Q-1935926</t>
  </si>
  <si>
    <t>Diff. USt-MindestBMG (Firmenwagen)</t>
  </si>
  <si>
    <t>Gehälter</t>
  </si>
  <si>
    <t>Pauschale Steuern Arbeitnehmer</t>
  </si>
  <si>
    <t>Freiw. soz. Aufwend. LSt-pfl.</t>
  </si>
  <si>
    <t>Sachzuwend. und Dienstl. an AN</t>
  </si>
  <si>
    <t>Fahrtkostenerst.Wohnung/Arbeit</t>
  </si>
  <si>
    <t>Gesetzl. Sozialaufwendungen</t>
  </si>
  <si>
    <t>2025 Vorschuss VBG</t>
  </si>
  <si>
    <t>Freiw. soz. Aufw. LSt-frei</t>
  </si>
  <si>
    <t>Aufw. für Altersversorgung</t>
  </si>
  <si>
    <t>01.2025 AFA</t>
  </si>
  <si>
    <t>02.2025 AFA</t>
  </si>
  <si>
    <t>Afa immat Vermögensgegenst.</t>
  </si>
  <si>
    <t>Normalabschreibung Sachanlagen</t>
  </si>
  <si>
    <t>a4b Verschmelzung</t>
  </si>
  <si>
    <t>a4b</t>
  </si>
  <si>
    <t>Umlage andagon Holding GF</t>
  </si>
  <si>
    <t>Umlage andagon Holding Versicherungen</t>
  </si>
  <si>
    <t>Koch Leasing E-Bike Versicherung</t>
  </si>
  <si>
    <t>108888-001</t>
  </si>
  <si>
    <t>Rundfubkgebühr</t>
  </si>
  <si>
    <t>IHK - Beitrag 2025</t>
  </si>
  <si>
    <t>KSV 1870 Information G</t>
  </si>
  <si>
    <t>725A100975</t>
  </si>
  <si>
    <t>Rundfunk</t>
  </si>
  <si>
    <t>PRO*ROCKETJOBS.PL</t>
  </si>
  <si>
    <t>5ee70ee5-ee5f-45da-944f-3615ac6ced96</t>
  </si>
  <si>
    <t>NO FLUFF JOBS</t>
  </si>
  <si>
    <t>84/01/2025</t>
  </si>
  <si>
    <t>5baf37eb-75f6-40ee-9be0-e63fdc59f5f7</t>
  </si>
  <si>
    <t>JUST JOIN PLN</t>
  </si>
  <si>
    <t>FS/25/01/0538</t>
  </si>
  <si>
    <t>wfp-dou.ua</t>
  </si>
  <si>
    <t>N88104</t>
  </si>
  <si>
    <t>pracuj.pl</t>
  </si>
  <si>
    <t>GP2025/2/478427</t>
  </si>
  <si>
    <t>N88261</t>
  </si>
  <si>
    <t>LinkedIn JOB 109345661</t>
  </si>
  <si>
    <t>N89423</t>
  </si>
  <si>
    <t>N90279</t>
  </si>
  <si>
    <t>N90979</t>
  </si>
  <si>
    <t>N91123</t>
  </si>
  <si>
    <t>N91911</t>
  </si>
  <si>
    <t>N94614</t>
  </si>
  <si>
    <t>N95286</t>
  </si>
  <si>
    <t>N96459</t>
  </si>
  <si>
    <t>WFP.DJINNI.CO</t>
  </si>
  <si>
    <t>63579-W</t>
  </si>
  <si>
    <t>360 Grad - Marketing 10.2025</t>
  </si>
  <si>
    <t>25150933/D44185</t>
  </si>
  <si>
    <t>Microsoft a4b aus 2024</t>
  </si>
  <si>
    <t>VERCEL INC.</t>
  </si>
  <si>
    <t>2049-7180</t>
  </si>
  <si>
    <t>SSL.COM CLOUD SERVICES</t>
  </si>
  <si>
    <t>mi-e795-1jkqck5</t>
  </si>
  <si>
    <t>GETMOSS.COM</t>
  </si>
  <si>
    <t>MOBBIN.COM</t>
  </si>
  <si>
    <t>790F64FD-0008</t>
  </si>
  <si>
    <t>WEBWORK-TRACKER.COM</t>
  </si>
  <si>
    <t>CURSOR, AI POWERED IDE</t>
  </si>
  <si>
    <t>3090AE80-0006</t>
  </si>
  <si>
    <t>LUCKYORANGE.COM</t>
  </si>
  <si>
    <t>37wqfmaj</t>
  </si>
  <si>
    <t>OPENAI *CHATGPT SUBSCR</t>
  </si>
  <si>
    <t>77C6FAE3-0009</t>
  </si>
  <si>
    <t>SONARCLOUD</t>
  </si>
  <si>
    <t>d3hpw0xk</t>
  </si>
  <si>
    <t>PRODUCT FRUITS</t>
  </si>
  <si>
    <t>OD07109A-15600</t>
  </si>
  <si>
    <t>MIRO.COM</t>
  </si>
  <si>
    <t>604200EF-0038</t>
  </si>
  <si>
    <t>FIGMA MONTHLY RENEWAL</t>
  </si>
  <si>
    <t>A3018BDB-0024</t>
  </si>
  <si>
    <t>EXPRESSVPN.COM</t>
  </si>
  <si>
    <t>WFP.IT.</t>
  </si>
  <si>
    <t>GITHUB, INC.</t>
  </si>
  <si>
    <t>ch3Qgkk2JFr6CCHwli13xmCci6</t>
  </si>
  <si>
    <t>CLICKUP</t>
  </si>
  <si>
    <t>T30370827-011225</t>
  </si>
  <si>
    <t>PADDLE.NET* IPWHOIS.IO</t>
  </si>
  <si>
    <t>30644675-125573391</t>
  </si>
  <si>
    <t>LINKEDIN SN *217557553</t>
  </si>
  <si>
    <t>GITBOOK PLUS</t>
  </si>
  <si>
    <t>219D673D-0021</t>
  </si>
  <si>
    <t>790F64FD-0009</t>
  </si>
  <si>
    <t>CLAUDE.AI SUBSCRIPTION</t>
  </si>
  <si>
    <t>85603C9A-0005</t>
  </si>
  <si>
    <t>LAUNCHDARKLY SEAT PACK</t>
  </si>
  <si>
    <t>38F72E0A-0030</t>
  </si>
  <si>
    <t>BITWARDEN</t>
  </si>
  <si>
    <t>4633E959-0053</t>
  </si>
  <si>
    <t>Zoho 01.2025</t>
  </si>
  <si>
    <t>RNG-2025-0024</t>
  </si>
  <si>
    <t>C66F0006-0011</t>
  </si>
  <si>
    <t>DATADOG, INC.</t>
  </si>
  <si>
    <t>cat9n0bb</t>
  </si>
  <si>
    <t>ch3QmfKnJFr6CCHwli00bk1XYy</t>
  </si>
  <si>
    <t>Apollo 04.24-03.25</t>
  </si>
  <si>
    <t>Umlage andagon Holding Lizenzen</t>
  </si>
  <si>
    <t>DEEPL* SUB:15667 CUS:1</t>
  </si>
  <si>
    <t>DI-20250130-5491</t>
  </si>
  <si>
    <t>JetBrains</t>
  </si>
  <si>
    <t>INVCZ8895335</t>
  </si>
  <si>
    <t>WWW.SONARSOURCE.COM</t>
  </si>
  <si>
    <t>34D506BF-0001</t>
  </si>
  <si>
    <t>97DF05F9-0008</t>
  </si>
  <si>
    <t>mi-62ed-1jnc4cn</t>
  </si>
  <si>
    <t>219D673D-0022</t>
  </si>
  <si>
    <t>3090AE80-0007</t>
  </si>
  <si>
    <t>63rqe58e</t>
  </si>
  <si>
    <t>77C6FAE3-0010</t>
  </si>
  <si>
    <t>OD07109A-16454</t>
  </si>
  <si>
    <t>ZADARMA.COM</t>
  </si>
  <si>
    <t>INSTANTLY</t>
  </si>
  <si>
    <t>1D57905F-0001</t>
  </si>
  <si>
    <t>604200EF-0039</t>
  </si>
  <si>
    <t>A3018BDB-0025</t>
  </si>
  <si>
    <t>PADDLE.NET* PROXYSELL</t>
  </si>
  <si>
    <t>RELEVANCEAI.COM</t>
  </si>
  <si>
    <t>B0395BA6-0001</t>
  </si>
  <si>
    <t>T30370827-021125</t>
  </si>
  <si>
    <t>g0cn67h3</t>
  </si>
  <si>
    <t>LinkedIn SN P428050874</t>
  </si>
  <si>
    <t>30644675-128420768</t>
  </si>
  <si>
    <t>GOLOGIN.COM</t>
  </si>
  <si>
    <t>67b323c7a107f353ff688ae7</t>
  </si>
  <si>
    <t>CLAY LABS INC</t>
  </si>
  <si>
    <t>E7FB296B-0002</t>
  </si>
  <si>
    <t>GRINFI OU</t>
  </si>
  <si>
    <t>FA68E901-0317</t>
  </si>
  <si>
    <t>ANTHROPIC</t>
  </si>
  <si>
    <t>13427809-0001</t>
  </si>
  <si>
    <t>790F64FD-0010</t>
  </si>
  <si>
    <t>85603C9A-0006</t>
  </si>
  <si>
    <t>OPENAI</t>
  </si>
  <si>
    <t>8C5DC858-0001</t>
  </si>
  <si>
    <t>38F72E0A-0031</t>
  </si>
  <si>
    <t>4633E959-0054</t>
  </si>
  <si>
    <t>A9A23099-0007</t>
  </si>
  <si>
    <t>Zoho 02.2025</t>
  </si>
  <si>
    <t>RNG-2025-0056</t>
  </si>
  <si>
    <t>2493D0D7-0018</t>
  </si>
  <si>
    <t>34D506BF-0002</t>
  </si>
  <si>
    <t>97DF05F9-0009</t>
  </si>
  <si>
    <t>C66F0006-0012</t>
  </si>
  <si>
    <t>ch3QxZbmJFr6CCHwli1Ajb1LQ6</t>
  </si>
  <si>
    <t>DI-20250228-16851</t>
  </si>
  <si>
    <t>mi-4de2-1jptrmh</t>
  </si>
  <si>
    <t>DTAD - Lizenz 03.2025</t>
  </si>
  <si>
    <t>2025-15723</t>
  </si>
  <si>
    <t>3090AE80-0008</t>
  </si>
  <si>
    <t>77C6FAE3-0011</t>
  </si>
  <si>
    <t>bvc31r1j</t>
  </si>
  <si>
    <t>A3018BDB-0026</t>
  </si>
  <si>
    <t>OD07109A-17321</t>
  </si>
  <si>
    <t>RAFIKI PREMIUM LICENSE</t>
  </si>
  <si>
    <t>7A73BFA4-0007</t>
  </si>
  <si>
    <t>1D57905F-0002</t>
  </si>
  <si>
    <t>604200EF-0040</t>
  </si>
  <si>
    <t>SUPERULTRA, INC.</t>
  </si>
  <si>
    <t>D3ED67AC-0001</t>
  </si>
  <si>
    <t>F4332F01-0001</t>
  </si>
  <si>
    <t>fsaxfdw9</t>
  </si>
  <si>
    <t>T30370827-031125</t>
  </si>
  <si>
    <t>WWW.MAKE.COM</t>
  </si>
  <si>
    <t>B6EB5884-0001</t>
  </si>
  <si>
    <t>LINKEDIN SN *485928284</t>
  </si>
  <si>
    <t>30644675-131312655</t>
  </si>
  <si>
    <t>PADDLE.NET* N8N CLOUD1</t>
  </si>
  <si>
    <t>70583522-133925845</t>
  </si>
  <si>
    <t>WWW.PERPLEXITY.AI</t>
  </si>
  <si>
    <t>YGIPFU-00001</t>
  </si>
  <si>
    <t>E7FB296B-0003</t>
  </si>
  <si>
    <t>FA68E901-0366</t>
  </si>
  <si>
    <t>N02380</t>
  </si>
  <si>
    <t>LINKEDIN SN *491137754</t>
  </si>
  <si>
    <t>MIDJOURNEY INC.</t>
  </si>
  <si>
    <t>65328262-0023</t>
  </si>
  <si>
    <t>PADDLE.NET* ALSOASKED</t>
  </si>
  <si>
    <t>70658665-134156717</t>
  </si>
  <si>
    <t>790F64FD-0011</t>
  </si>
  <si>
    <t>85603C9A-0007</t>
  </si>
  <si>
    <t>8C5DC858-0002</t>
  </si>
  <si>
    <t>ZEROBOUNCE.COM</t>
  </si>
  <si>
    <t>ch3R6C0VCVPrlw8vG81zl8iWjo</t>
  </si>
  <si>
    <t>OPENROUTER, INC</t>
  </si>
  <si>
    <t>14938D48-0001</t>
  </si>
  <si>
    <t>38F72E0A-0032</t>
  </si>
  <si>
    <t>4633E959-0055</t>
  </si>
  <si>
    <t>3F9346E7-0001</t>
  </si>
  <si>
    <t>INV80008914</t>
  </si>
  <si>
    <t>Zoho - Lizenz 03.2025</t>
  </si>
  <si>
    <t>RNG-2025-0089</t>
  </si>
  <si>
    <t>219D673D-0024</t>
  </si>
  <si>
    <t>2493D0D7-0019</t>
  </si>
  <si>
    <t>FIGMA</t>
  </si>
  <si>
    <t>C66F0006-0013</t>
  </si>
  <si>
    <t>ch3R82ZRJFr6CCHwli0hwlzBfo</t>
  </si>
  <si>
    <t>DI-20250330-5206</t>
  </si>
  <si>
    <t>71C638F2-0001</t>
  </si>
  <si>
    <t>97DF05F9-0010</t>
  </si>
  <si>
    <t>B6EB5884-0002</t>
  </si>
  <si>
    <t>mi-e3a5-1js7m02</t>
  </si>
  <si>
    <t>DTAD - Lizenz 04.2025</t>
  </si>
  <si>
    <t>2025-18143</t>
  </si>
  <si>
    <t>34D506BF-0003</t>
  </si>
  <si>
    <t>2376-9416</t>
  </si>
  <si>
    <t>77C6FAE3-0012</t>
  </si>
  <si>
    <t>8D2A486B-0022</t>
  </si>
  <si>
    <t>abqce79v</t>
  </si>
  <si>
    <t>2101-7473</t>
  </si>
  <si>
    <t>A3018BDB-0027</t>
  </si>
  <si>
    <t>WINDSURF</t>
  </si>
  <si>
    <t>24544612-0001</t>
  </si>
  <si>
    <t>PADDLE.NET* DATAFORSEO</t>
  </si>
  <si>
    <t>5475-10475</t>
  </si>
  <si>
    <t>P.SKOOL.COM/LBJTP</t>
  </si>
  <si>
    <t>6CC3DE5A-0001</t>
  </si>
  <si>
    <t>D3ED67AC-0002</t>
  </si>
  <si>
    <t>f3jtkq81</t>
  </si>
  <si>
    <t>LinkedIn P540539684</t>
  </si>
  <si>
    <t>T30370827-041125</t>
  </si>
  <si>
    <t>SENDSPARK.COM</t>
  </si>
  <si>
    <t>SYNTHESIA LIMITED</t>
  </si>
  <si>
    <t>89E29DDD-0030</t>
  </si>
  <si>
    <t>30644675-133867373</t>
  </si>
  <si>
    <t>604200EF-0041</t>
  </si>
  <si>
    <t>70583522-133925846</t>
  </si>
  <si>
    <t>LINKEDIN SN *550270904</t>
  </si>
  <si>
    <t>7A73BFA4-0008</t>
  </si>
  <si>
    <t>LOOM SUBSCRIPTION</t>
  </si>
  <si>
    <t>591B2F4-0002</t>
  </si>
  <si>
    <t>5A121148-0001</t>
  </si>
  <si>
    <t>F4332F01-0004</t>
  </si>
  <si>
    <t>FA68E901-0426</t>
  </si>
  <si>
    <t>N02676</t>
  </si>
  <si>
    <t>13427809-0003</t>
  </si>
  <si>
    <t>790F64FD-0012</t>
  </si>
  <si>
    <t>85603C9A-0008</t>
  </si>
  <si>
    <t>38F72E0A-0033</t>
  </si>
  <si>
    <t>3F9346E7-0002</t>
  </si>
  <si>
    <t>4633E959-0056</t>
  </si>
  <si>
    <t>Zoho - Lizenz 04.2025</t>
  </si>
  <si>
    <t>RNG-2025-0121</t>
  </si>
  <si>
    <t>219D673D-0025</t>
  </si>
  <si>
    <t>2347-3741</t>
  </si>
  <si>
    <t>8C5DC858-0003</t>
  </si>
  <si>
    <t>C66F0006-0014</t>
  </si>
  <si>
    <t>dev. express asp.net 04.25-03.26</t>
  </si>
  <si>
    <t>ch3RJHNWJFr6CCHwli1fVSqWcp</t>
  </si>
  <si>
    <t>DIGITALOCEAN.COM</t>
  </si>
  <si>
    <t>APIFY* SUBSCRIPTION</t>
  </si>
  <si>
    <t>14938D48-0003</t>
  </si>
  <si>
    <t>71C638F2-0002</t>
  </si>
  <si>
    <t>LEADMAGIC DATASVCS</t>
  </si>
  <si>
    <t>8188D4D7-0002</t>
  </si>
  <si>
    <t>97DF05F9-0011</t>
  </si>
  <si>
    <t>B6EB5884-0003</t>
  </si>
  <si>
    <t>DI-20250430-7447</t>
  </si>
  <si>
    <t>mi-7380-1jupbp8</t>
  </si>
  <si>
    <t>DTAD - Lizenz 05.2025</t>
  </si>
  <si>
    <t>2025-20649</t>
  </si>
  <si>
    <t>3090AE80-0010</t>
  </si>
  <si>
    <t>34D506BF-0004</t>
  </si>
  <si>
    <t>77C6FAE3-0013</t>
  </si>
  <si>
    <t>A3018BDB-0028</t>
  </si>
  <si>
    <t>OD07109A-19135</t>
  </si>
  <si>
    <t>qjkt440k</t>
  </si>
  <si>
    <t>1D57905F-0004</t>
  </si>
  <si>
    <t>604200EF-0042</t>
  </si>
  <si>
    <t>PADDLE.NET* PLACID APP</t>
  </si>
  <si>
    <t>71937604-138096877</t>
  </si>
  <si>
    <t>FULLENRICH</t>
  </si>
  <si>
    <t>3UZ9KRBP-0001</t>
  </si>
  <si>
    <t>APOLLO.IO</t>
  </si>
  <si>
    <t>QUQHP1OU-0001</t>
  </si>
  <si>
    <t>RAILWAY</t>
  </si>
  <si>
    <t>XONPD4VQ-0001</t>
  </si>
  <si>
    <t>24544612-0002</t>
  </si>
  <si>
    <t>7A73BFA4-0009</t>
  </si>
  <si>
    <t>8C5DC858-0004</t>
  </si>
  <si>
    <t>ch3RMSHICVPrlw8vG81tEMrafm</t>
  </si>
  <si>
    <t>LinkedIn P593320734</t>
  </si>
  <si>
    <t>CURSOR USAGE  APR</t>
  </si>
  <si>
    <t>2109-4373</t>
  </si>
  <si>
    <t>6CC3DE5A-0002</t>
  </si>
  <si>
    <t>D3ED67AC-0003</t>
  </si>
  <si>
    <t>hzyfs87b</t>
  </si>
  <si>
    <t>T30370827-051125</t>
  </si>
  <si>
    <t>SSL.COM RENEWAL FOR CE</t>
  </si>
  <si>
    <t>1246-1k2478v</t>
  </si>
  <si>
    <t>70583522-136455095</t>
  </si>
  <si>
    <t>LINKEDIN SN *603372884</t>
  </si>
  <si>
    <t>FA68E901-0487</t>
  </si>
  <si>
    <t>N02923</t>
  </si>
  <si>
    <t>5A121148-0002</t>
  </si>
  <si>
    <t>38F72E0A-0034</t>
  </si>
  <si>
    <t>790F64FD-0013</t>
  </si>
  <si>
    <t>85603C9A-0009</t>
  </si>
  <si>
    <t>4633E959-0057</t>
  </si>
  <si>
    <t>3F9346E7-0003</t>
  </si>
  <si>
    <t>INV85971590</t>
  </si>
  <si>
    <t>Zoho - Lizenz 05.2025</t>
  </si>
  <si>
    <t>RNG-2025-0157</t>
  </si>
  <si>
    <t>2192-9899</t>
  </si>
  <si>
    <t>219D673D-0026</t>
  </si>
  <si>
    <t>C66F0006-0015</t>
  </si>
  <si>
    <t>ch3RUAajJFr6CCHwli0Gw4lqRq</t>
  </si>
  <si>
    <t>GOOGLE*GSUITE AQUA-CLO</t>
  </si>
  <si>
    <t>Google GSUITE_aqua-sof</t>
  </si>
  <si>
    <t>GOOGLE*GSUITE AQUA-TES</t>
  </si>
  <si>
    <t>APIFY* INV#20250601029</t>
  </si>
  <si>
    <t>71C638F2-0003</t>
  </si>
  <si>
    <t>8188D4D7-0003</t>
  </si>
  <si>
    <t>97DF05F9-0012</t>
  </si>
  <si>
    <t>DI-20250530-5747</t>
  </si>
  <si>
    <t>Microsoft-G089790618</t>
  </si>
  <si>
    <t>G089790618</t>
  </si>
  <si>
    <t>DTAD - Lizenz 06.2025</t>
  </si>
  <si>
    <t>2025-22989</t>
  </si>
  <si>
    <t>34D506BF-0005</t>
  </si>
  <si>
    <t>B6EB5884-0004</t>
  </si>
  <si>
    <t>3090AE80-0012</t>
  </si>
  <si>
    <t>77C6FAE3-0014</t>
  </si>
  <si>
    <t>fxqxtzpo</t>
  </si>
  <si>
    <t>A3018BDB-0029</t>
  </si>
  <si>
    <t>OD07109A-20040</t>
  </si>
  <si>
    <t>14938D48-0004</t>
  </si>
  <si>
    <t>24544612-0003</t>
  </si>
  <si>
    <t>604200EF-0043</t>
  </si>
  <si>
    <t>85603C9A-0010</t>
  </si>
  <si>
    <t>F4332F01-0006</t>
  </si>
  <si>
    <t>Microsoft-G095727183</t>
  </si>
  <si>
    <t>G095727183</t>
  </si>
  <si>
    <t>XONPD4VQ-0002</t>
  </si>
  <si>
    <t>CURSOR USAGE  MAY</t>
  </si>
  <si>
    <t>2477-1299</t>
  </si>
  <si>
    <t>6CC3DE5A-0003</t>
  </si>
  <si>
    <t>D3ED67AC-0004</t>
  </si>
  <si>
    <t>LinkedIn P650601754</t>
  </si>
  <si>
    <t>5rpst3ga</t>
  </si>
  <si>
    <t>T30370827-061125</t>
  </si>
  <si>
    <t>70583522-138890169</t>
  </si>
  <si>
    <t>mi-34d8-1k4sgse</t>
  </si>
  <si>
    <t>LINKEDIN SN *658677744</t>
  </si>
  <si>
    <t>THEIRSTACK.COM</t>
  </si>
  <si>
    <t>TS-2357</t>
  </si>
  <si>
    <t>FA68E901-0570</t>
  </si>
  <si>
    <t>N03250</t>
  </si>
  <si>
    <t>AHREFS.COM</t>
  </si>
  <si>
    <t>A6UKRLRV-0001</t>
  </si>
  <si>
    <t>FA68E901-0575</t>
  </si>
  <si>
    <t>5A121148-0003</t>
  </si>
  <si>
    <t>7A73BFA4-0010</t>
  </si>
  <si>
    <t>ELEVENLABS.IO</t>
  </si>
  <si>
    <t>1WHK5183-0001</t>
  </si>
  <si>
    <t>790F64FD-0014</t>
  </si>
  <si>
    <t>38F72E0A-0035</t>
  </si>
  <si>
    <t>4633E959-0058</t>
  </si>
  <si>
    <t>Zoho - Lizenz 06.2025</t>
  </si>
  <si>
    <t>RNG-2025-0178</t>
  </si>
  <si>
    <t>219D673D-0027</t>
  </si>
  <si>
    <t>2370-2114</t>
  </si>
  <si>
    <t>3F9346E7-0004</t>
  </si>
  <si>
    <t>TWILIO INC</t>
  </si>
  <si>
    <t>AC7c1bbe0ce63b2a148ecdd2df0bec94a5</t>
  </si>
  <si>
    <t>C66F0006-0016</t>
  </si>
  <si>
    <t>G2ABVSHOP</t>
  </si>
  <si>
    <t>C9200012678048844829246</t>
  </si>
  <si>
    <t>cffbfc5d-bc78-4d76-b56c-22a55b7c3757</t>
  </si>
  <si>
    <t>ch3RfOaeJFr6CCHwli1TgW2Qfs</t>
  </si>
  <si>
    <t>INV89066282</t>
  </si>
  <si>
    <t>APIFY* INV#20250701023</t>
  </si>
  <si>
    <t>DI-20250630-6851</t>
  </si>
  <si>
    <t>71C638F2-0004</t>
  </si>
  <si>
    <t>97DF05F9-0013</t>
  </si>
  <si>
    <t>DTAD - Lizenz 07.2025</t>
  </si>
  <si>
    <t>2025-25485</t>
  </si>
  <si>
    <t>34D506BF-0006</t>
  </si>
  <si>
    <t>B6EB5884-0005</t>
  </si>
  <si>
    <t>invoice17514358195811</t>
  </si>
  <si>
    <t>3090AE80-0014</t>
  </si>
  <si>
    <t>8188D4D7-0004</t>
  </si>
  <si>
    <t>ahzt0w10</t>
  </si>
  <si>
    <t>1D57905F-0005</t>
  </si>
  <si>
    <t>604200EF-0044</t>
  </si>
  <si>
    <t>71937604-140539215</t>
  </si>
  <si>
    <t>85603C9A-0011</t>
  </si>
  <si>
    <t>A3018BDB-0030</t>
  </si>
  <si>
    <t>OD07109A-21927</t>
  </si>
  <si>
    <t>XONPD4VQ-0003</t>
  </si>
  <si>
    <t>WJD7TJL4-0001</t>
  </si>
  <si>
    <t>XONPD4VQ-0004</t>
  </si>
  <si>
    <t>e1d23e9a-77da-499b-a06a-077072926178</t>
  </si>
  <si>
    <t>F4332F01-0008</t>
  </si>
  <si>
    <t>6CC3DE5A-0004</t>
  </si>
  <si>
    <t>D3ED67AC-0005</t>
  </si>
  <si>
    <t>ZAPMAIL.AI</t>
  </si>
  <si>
    <t>20E5YKWS-0001</t>
  </si>
  <si>
    <t>20E5YKWS-0002</t>
  </si>
  <si>
    <t>6wd51qp2</t>
  </si>
  <si>
    <t>SMARTLEAD-521 PRODUCTS</t>
  </si>
  <si>
    <t>9E746118-0001</t>
  </si>
  <si>
    <t>LinkedIn P698634604</t>
  </si>
  <si>
    <t>WWW.RETELLAI.COM</t>
  </si>
  <si>
    <t>3XZAOPKN-0003</t>
  </si>
  <si>
    <t>IPOSTAL*SUBSCRIPTION</t>
  </si>
  <si>
    <t>5cb672f9-d86e-4bb9-82fa-432c6ba75d5a</t>
  </si>
  <si>
    <t>T30370827-071125</t>
  </si>
  <si>
    <t>XUXWXIPR-0001</t>
  </si>
  <si>
    <t>70583522-141316738</t>
  </si>
  <si>
    <t>LINKEDIN SN *494812916</t>
  </si>
  <si>
    <t>FA68E901-0638</t>
  </si>
  <si>
    <t>14938D48-0005</t>
  </si>
  <si>
    <t>5A121148-0004</t>
  </si>
  <si>
    <t>A6UKRLRV-0002</t>
  </si>
  <si>
    <t>IPOSTAL*BUSINESSGREENP</t>
  </si>
  <si>
    <t>IPOSTAL*BLUEPLAN60</t>
  </si>
  <si>
    <t>223649e3-5304-4509-b7f7-2a4cd180a3fa</t>
  </si>
  <si>
    <t>790F64FD-0015</t>
  </si>
  <si>
    <t>11f56781-577c-47c3-a49d-da888dffe3bf</t>
  </si>
  <si>
    <t>a36dbada-5b07-492b-8b06-8874d29d515b</t>
  </si>
  <si>
    <t>DEVELOPER EXPRESS INC</t>
  </si>
  <si>
    <t>P3471497</t>
  </si>
  <si>
    <t>38F72E0A-0036</t>
  </si>
  <si>
    <t>4633E959-0059</t>
  </si>
  <si>
    <t>INV93951430</t>
  </si>
  <si>
    <t>Zoho - Lizenz 07.2025</t>
  </si>
  <si>
    <t>RNG-2025-0224</t>
  </si>
  <si>
    <t>219D673D-0028</t>
  </si>
  <si>
    <t>2493D0D7-0023</t>
  </si>
  <si>
    <t>C66F0006-0017</t>
  </si>
  <si>
    <t>ch3RqHREJFr6CCHwli1MDme1ld</t>
  </si>
  <si>
    <t>avangate 07.25-06.26</t>
  </si>
  <si>
    <t>DI-20250730-5431</t>
  </si>
  <si>
    <t>APIFY* INV#20250801004</t>
  </si>
  <si>
    <t>DTAD - Lizenz 08.2025</t>
  </si>
  <si>
    <t>2025-27949</t>
  </si>
  <si>
    <t>1b-1gsvukx</t>
  </si>
  <si>
    <t>3090AE80-0015</t>
  </si>
  <si>
    <t>34D506BF-0007</t>
  </si>
  <si>
    <t>71C638F2-0006</t>
  </si>
  <si>
    <t>B6EB5884-0006</t>
  </si>
  <si>
    <t>hc2sr2gt</t>
  </si>
  <si>
    <t>A3018BDB-0031</t>
  </si>
  <si>
    <t>71937604-142877179</t>
  </si>
  <si>
    <t>9E746118-0002</t>
  </si>
  <si>
    <t>604200EF-0045</t>
  </si>
  <si>
    <t>85603C9A-0012</t>
  </si>
  <si>
    <t>24544612-0005</t>
  </si>
  <si>
    <t>6CC3DE5A-0005</t>
  </si>
  <si>
    <t>9E746118-0003</t>
  </si>
  <si>
    <t>D3ED67AC-0006</t>
  </si>
  <si>
    <t>LinkedIn P751546274</t>
  </si>
  <si>
    <t>FA68E901-0696</t>
  </si>
  <si>
    <t>T30370827-081125</t>
  </si>
  <si>
    <t>1000257291-08082025</t>
  </si>
  <si>
    <t>3XZAOPKN-0004</t>
  </si>
  <si>
    <t>GENSPARK.AI</t>
  </si>
  <si>
    <t>IQN9INZL-0001</t>
  </si>
  <si>
    <t>8C5DC858-0006</t>
  </si>
  <si>
    <t>ZEROBOUNCE.NET SAAS</t>
  </si>
  <si>
    <t>ch3RvwfXCVPrlw8vG807A302Hu</t>
  </si>
  <si>
    <t>ELZSDYPX-0001</t>
  </si>
  <si>
    <t>LINKEDIN SN *760216924</t>
  </si>
  <si>
    <t>30644675-143624770</t>
  </si>
  <si>
    <t>70583522-143643032</t>
  </si>
  <si>
    <t>TS-2991</t>
  </si>
  <si>
    <t>FA68E901-0710</t>
  </si>
  <si>
    <t>LINKEDIN    *542524046</t>
  </si>
  <si>
    <t>A6UKRLRV-0003</t>
  </si>
  <si>
    <t>WWW.ABSTRACTAPI.COM</t>
  </si>
  <si>
    <t>19A0F40E-0024</t>
  </si>
  <si>
    <t>5A121148-0005</t>
  </si>
  <si>
    <t>IPOSTAL*RENEWAL</t>
  </si>
  <si>
    <t>bbb87174-8526-4519-8e82-a38bb15b39ed</t>
  </si>
  <si>
    <t>89d023ca-abc6-418c-9201-78b93271dc68</t>
  </si>
  <si>
    <t>HPDKWO-2025-07</t>
  </si>
  <si>
    <t>INV98181444</t>
  </si>
  <si>
    <t>Zoho - Lizenz 08.2025</t>
  </si>
  <si>
    <t>RNG-2025-0261</t>
  </si>
  <si>
    <t>219D673D-0029</t>
  </si>
  <si>
    <t>2493D0D7-0024</t>
  </si>
  <si>
    <t>C66F0006-0018</t>
  </si>
  <si>
    <t>APIFY* INV#20250901033</t>
  </si>
  <si>
    <t>ch3S1WMMJFr6CCHwli0YtXZjQL</t>
  </si>
  <si>
    <t>DI-20250830-5067</t>
  </si>
  <si>
    <t>F4332F01-0009</t>
  </si>
  <si>
    <t>mi-eac0-1k8r4cq</t>
  </si>
  <si>
    <t>14938D48-0007</t>
  </si>
  <si>
    <t>DTAD - Lizenz 09.2025</t>
  </si>
  <si>
    <t>2025-30396</t>
  </si>
  <si>
    <t>34D506BF-0008</t>
  </si>
  <si>
    <t>B6EB5884-0007</t>
  </si>
  <si>
    <t>LinkedIn P792154864</t>
  </si>
  <si>
    <t>3090AE80-0016</t>
  </si>
  <si>
    <t>8188D4D7-0006</t>
  </si>
  <si>
    <t>Oyz9e0bx</t>
  </si>
  <si>
    <t>A3018BDB-0032</t>
  </si>
  <si>
    <t>OD07109A-22892</t>
  </si>
  <si>
    <t>604200EF-0046</t>
  </si>
  <si>
    <t>71937604-145240148</t>
  </si>
  <si>
    <t>7A73BFA4-0011</t>
  </si>
  <si>
    <t>85603C9A-0013</t>
  </si>
  <si>
    <t>XONPD4VQ-0006</t>
  </si>
  <si>
    <t>24544612-0006</t>
  </si>
  <si>
    <t>1292-5645</t>
  </si>
  <si>
    <t>20E5YKWS-0004</t>
  </si>
  <si>
    <t>PADDLE.NET* SUPAHUB</t>
  </si>
  <si>
    <t>2412-10617</t>
  </si>
  <si>
    <t>D3ED67AC-0007</t>
  </si>
  <si>
    <t>46m0fpnc</t>
  </si>
  <si>
    <t>790F64FD-0017</t>
  </si>
  <si>
    <t>9E746118-0004</t>
  </si>
  <si>
    <t>ch3S5kvsJFr6CCHwli12gl5TBm</t>
  </si>
  <si>
    <t>T30370827-091125</t>
  </si>
  <si>
    <t>3XZAOPKN-0005</t>
  </si>
  <si>
    <t>71881364-145077379</t>
  </si>
  <si>
    <t>TS-3342</t>
  </si>
  <si>
    <t>WWW.FONTFABRIC.COM</t>
  </si>
  <si>
    <t>D2804FA6-0004</t>
  </si>
  <si>
    <t>FA68E901-0785</t>
  </si>
  <si>
    <t>LinkedIn P819739494</t>
  </si>
  <si>
    <t>5A121148-0006</t>
  </si>
  <si>
    <t>A6UKRLRV-0004</t>
  </si>
  <si>
    <t>ELZSDYPX-0002</t>
  </si>
  <si>
    <t>38F72E0A-0038</t>
  </si>
  <si>
    <t>Zoho - Lizenz 09.2025</t>
  </si>
  <si>
    <t>RNG-2025-0292</t>
  </si>
  <si>
    <t>219D673D-0030</t>
  </si>
  <si>
    <t>2493D0D7-0025</t>
  </si>
  <si>
    <t>4633E959-0061</t>
  </si>
  <si>
    <t>C66F0006-0019</t>
  </si>
  <si>
    <t>INV101815299</t>
  </si>
  <si>
    <t>afcb5179-1fb0-4675-9bdb-bac0be6a6a1d</t>
  </si>
  <si>
    <t>APIFY* INV#20251001009</t>
  </si>
  <si>
    <t>14938D48-0011</t>
  </si>
  <si>
    <t>DI-20250930-6743</t>
  </si>
  <si>
    <t>71C638F2-0007</t>
  </si>
  <si>
    <t>mi-e386-1kbcsli</t>
  </si>
  <si>
    <t>DTAD - Lizenz 10.2025</t>
  </si>
  <si>
    <t>2025-32881</t>
  </si>
  <si>
    <t>34D506BF-0009</t>
  </si>
  <si>
    <t>FAL.AI</t>
  </si>
  <si>
    <t>ZBQSTC-00001</t>
  </si>
  <si>
    <t>LINKEDIN SN *849938574</t>
  </si>
  <si>
    <t>2374hvp0</t>
  </si>
  <si>
    <t>3090AE80-0017</t>
  </si>
  <si>
    <t>71937604-147579890</t>
  </si>
  <si>
    <t>8188D4D7-0007</t>
  </si>
  <si>
    <t>A3018BDB-0033</t>
  </si>
  <si>
    <t>DE2025-239</t>
  </si>
  <si>
    <t>OD07109A-23848</t>
  </si>
  <si>
    <t>85603C9A-0014</t>
  </si>
  <si>
    <t>Zoho - Lizenz 10.2025</t>
  </si>
  <si>
    <t>RNG-2025-0300</t>
  </si>
  <si>
    <t>T30370827-100725</t>
  </si>
  <si>
    <t>XONPD4VQ-0007</t>
  </si>
  <si>
    <t>WFP-hurma.work</t>
  </si>
  <si>
    <t>24544612-0007</t>
  </si>
  <si>
    <t>LEADPAGES.* TRIAL LEAD</t>
  </si>
  <si>
    <t>null</t>
  </si>
  <si>
    <t>20E5YKWS-0005</t>
  </si>
  <si>
    <t>2412-10667</t>
  </si>
  <si>
    <t>6CC3DE5A-0007</t>
  </si>
  <si>
    <t>D3ED67AC-0008</t>
  </si>
  <si>
    <t>r2b3n55b</t>
  </si>
  <si>
    <t>3XZAOPKN-0006</t>
  </si>
  <si>
    <t>9E746118-0005</t>
  </si>
  <si>
    <t>DE2025-1079</t>
  </si>
  <si>
    <t>30644675-148301929</t>
  </si>
  <si>
    <t>70583522-148316723</t>
  </si>
  <si>
    <t>14938D48-0012</t>
  </si>
  <si>
    <t>FIRECRAWL.DEV</t>
  </si>
  <si>
    <t>SOLRTOYM-0001</t>
  </si>
  <si>
    <t>TS-3719</t>
  </si>
  <si>
    <t>LinkedIn Recruiter P88</t>
  </si>
  <si>
    <t>604200EF-0047</t>
  </si>
  <si>
    <t>A6UKRLRV-0005</t>
  </si>
  <si>
    <t>FA68E901-0872</t>
  </si>
  <si>
    <t>167H94N1-0001</t>
  </si>
  <si>
    <t>5A121148-0007</t>
  </si>
  <si>
    <t>DE2025-1766</t>
  </si>
  <si>
    <t>F4332F01-0010</t>
  </si>
  <si>
    <t>F4332F01-0011</t>
  </si>
  <si>
    <t>14938D48-0013</t>
  </si>
  <si>
    <t>FA68E901-0880</t>
  </si>
  <si>
    <t>38F72E0A-0039</t>
  </si>
  <si>
    <t>4633E959-0062</t>
  </si>
  <si>
    <t>HPDKWO-2025-09</t>
  </si>
  <si>
    <t>INV105546903</t>
  </si>
  <si>
    <t>Zoho - Lizenz 11.2025</t>
  </si>
  <si>
    <t>RNG-2025-0331</t>
  </si>
  <si>
    <t>219D673D-0031</t>
  </si>
  <si>
    <t>2493D0D7-0026</t>
  </si>
  <si>
    <t>5475-18789</t>
  </si>
  <si>
    <t>C66F0006-0020</t>
  </si>
  <si>
    <t>ch3SNdimJFr6CCHwli0q07tA7n</t>
  </si>
  <si>
    <t>DI-20251030-6406</t>
  </si>
  <si>
    <t>APIFY* INV#20251101048</t>
  </si>
  <si>
    <t>DTAD - Lizenz 11.2025</t>
  </si>
  <si>
    <t>2025-35220</t>
  </si>
  <si>
    <t>34D506BF-0010</t>
  </si>
  <si>
    <t>71C638F2-0008</t>
  </si>
  <si>
    <t>POLAR* BEINGPAX</t>
  </si>
  <si>
    <t>BEINGPAX-5006</t>
  </si>
  <si>
    <t>mi-f167-1kdrum2</t>
  </si>
  <si>
    <t>ZBQSTC-00003</t>
  </si>
  <si>
    <t>GETMOSS.COM* ID162614</t>
  </si>
  <si>
    <t>1dbdywsq</t>
  </si>
  <si>
    <t>3090AE80-0018</t>
  </si>
  <si>
    <t>8188D4D7-0008</t>
  </si>
  <si>
    <t>LINKEDIN SN *910428004</t>
  </si>
  <si>
    <t>A3018BDB-0034</t>
  </si>
  <si>
    <t>OD07109A-24831</t>
  </si>
  <si>
    <t>71937604-149790078</t>
  </si>
  <si>
    <t>604200EF-0048</t>
  </si>
  <si>
    <t>85603C9A-0015</t>
  </si>
  <si>
    <t>2412-10717</t>
  </si>
  <si>
    <t>24544612-0008</t>
  </si>
  <si>
    <t>6CC3DE5A-0008</t>
  </si>
  <si>
    <t>D3ED67AC-0009</t>
  </si>
  <si>
    <t>invoice17624997850324</t>
  </si>
  <si>
    <t>LEADPAGES.COM</t>
  </si>
  <si>
    <t>WP MEDIA</t>
  </si>
  <si>
    <t>202511-14372</t>
  </si>
  <si>
    <t>m7vnjqkv</t>
  </si>
  <si>
    <t>3XZAOPKN-0007</t>
  </si>
  <si>
    <t>13427809-0011</t>
  </si>
  <si>
    <t>14938D48-0014</t>
  </si>
  <si>
    <t>DE2025-4125</t>
  </si>
  <si>
    <t>F4332F01-0012</t>
  </si>
  <si>
    <t>30644675-150503325</t>
  </si>
  <si>
    <t>70583522-150516790</t>
  </si>
  <si>
    <t>DE2025-4188</t>
  </si>
  <si>
    <t>FA68E901-0954</t>
  </si>
  <si>
    <t>A6UKRLRV-0006</t>
  </si>
  <si>
    <t>LinkedIn P943543674</t>
  </si>
  <si>
    <t>8C5DC858-0007</t>
  </si>
  <si>
    <t>FONTAWESOME.COM</t>
  </si>
  <si>
    <t>CDD3544-0008</t>
  </si>
  <si>
    <t>ATKGCAXV-0001</t>
  </si>
  <si>
    <t>D2804FA6-0005</t>
  </si>
  <si>
    <t>38F72E0A-0040</t>
  </si>
  <si>
    <t>4633E959-0063</t>
  </si>
  <si>
    <t>INV109391109</t>
  </si>
  <si>
    <t>RNG-2025-0366</t>
  </si>
  <si>
    <t>APIFY* INV#20251201064</t>
  </si>
  <si>
    <t>14938D48-0015</t>
  </si>
  <si>
    <t>2493D0D7-0027</t>
  </si>
  <si>
    <t>C66F0006-0021</t>
  </si>
  <si>
    <t>ch3SYtooJFr6CCHwli07iefmga</t>
  </si>
  <si>
    <t>DI-20251130-6800</t>
  </si>
  <si>
    <t>ELZSDYPX-0003</t>
  </si>
  <si>
    <t>GETMOSS.COM* ID192558</t>
  </si>
  <si>
    <t>2710-5736</t>
  </si>
  <si>
    <t>71C638F2-0009</t>
  </si>
  <si>
    <t>ffb5afe5-9ace-4d76-9d20-a0834b4ffb03</t>
  </si>
  <si>
    <t>DTAD - Lizenz 12.2025</t>
  </si>
  <si>
    <t>2025-37900</t>
  </si>
  <si>
    <t>34D506BF-0011</t>
  </si>
  <si>
    <t>LINKEDIN SN *968896394</t>
  </si>
  <si>
    <t>3090AE80-0019</t>
  </si>
  <si>
    <t>4382sedd</t>
  </si>
  <si>
    <t>BLITZAPI</t>
  </si>
  <si>
    <t>SLYPETRD-0010</t>
  </si>
  <si>
    <t>39d4c44b-5859-4782-9a35-f80109afd6fc</t>
  </si>
  <si>
    <t>OD07109A-25834</t>
  </si>
  <si>
    <t>604200EF-0049</t>
  </si>
  <si>
    <t>71937604-152016018</t>
  </si>
  <si>
    <t>85603C9A-0016</t>
  </si>
  <si>
    <t>XONPD4VQ-0009</t>
  </si>
  <si>
    <t>24544612-0009</t>
  </si>
  <si>
    <t>73586d4-a6b7-4f16-bacd-4b866c5ec08c</t>
  </si>
  <si>
    <t>invoice17651813037742</t>
  </si>
  <si>
    <t>1000257291-12082025</t>
  </si>
  <si>
    <t>20E5YKWS-0007</t>
  </si>
  <si>
    <t>2412-10768</t>
  </si>
  <si>
    <t>AQAJGRVB-0004</t>
  </si>
  <si>
    <t>9E746118-0007</t>
  </si>
  <si>
    <t>3XZAOPKN-0008</t>
  </si>
  <si>
    <t>STRIPE-Z.AI</t>
  </si>
  <si>
    <t>INV-1991752-202512-0001</t>
  </si>
  <si>
    <t>70583522-152717582</t>
  </si>
  <si>
    <t>TS-4535</t>
  </si>
  <si>
    <t>EWWW-IO-UNLIMITED - ST</t>
  </si>
  <si>
    <t>7CB79410-0034</t>
  </si>
  <si>
    <t>FA68E901-1048</t>
  </si>
  <si>
    <t>Google Play Apps</t>
  </si>
  <si>
    <t>3286452253299889-1</t>
  </si>
  <si>
    <t>GITBOOK PRO</t>
  </si>
  <si>
    <t>A6UKRLRV-0007</t>
  </si>
  <si>
    <t>ATKGCAXV-0002</t>
  </si>
  <si>
    <t>PENTESTER.COM</t>
  </si>
  <si>
    <t>L25ZKV61-0001</t>
  </si>
  <si>
    <t>FA68E901-1066</t>
  </si>
  <si>
    <t>Zoho - Lizenz 12.2025</t>
  </si>
  <si>
    <t>RNG-2026-0399</t>
  </si>
  <si>
    <t>38F72E0A-0041</t>
  </si>
  <si>
    <t>4633E959-0064</t>
  </si>
  <si>
    <t>7bb31904-006f-434b-9ef1-e459ee58ea3a</t>
  </si>
  <si>
    <t>C66F0006-0022</t>
  </si>
  <si>
    <t>INV113544514</t>
  </si>
  <si>
    <t>ANT8LNPJ-0002</t>
  </si>
  <si>
    <t>ch3SjIHDJFr6CCHwli0DCbr1U0</t>
  </si>
  <si>
    <t>Rafiki 12.2025-02.2026</t>
  </si>
  <si>
    <t>7A73BFA4-0012</t>
  </si>
  <si>
    <t>DI-20251230-5131</t>
  </si>
  <si>
    <t>Lynk - Abo Elsner 01.2025</t>
  </si>
  <si>
    <t>DE00025212</t>
  </si>
  <si>
    <t>Lynk - Abo Koch 01.2025</t>
  </si>
  <si>
    <t>DE00025213</t>
  </si>
  <si>
    <t>DKV - Koch 01.2025</t>
  </si>
  <si>
    <t>25/641359489/000</t>
  </si>
  <si>
    <t>DKV - Elsner 01.2025</t>
  </si>
  <si>
    <t>25/641588735/001</t>
  </si>
  <si>
    <t>Lynk - Abo Elsner 02.2025</t>
  </si>
  <si>
    <t>DE00026480</t>
  </si>
  <si>
    <t>Lynk - Abo Koch 02.2025</t>
  </si>
  <si>
    <t>DE00026481</t>
  </si>
  <si>
    <t>DKV - Elsner 02.2025</t>
  </si>
  <si>
    <t>25/642000906/000</t>
  </si>
  <si>
    <t>DKV - Koch 02.2025</t>
  </si>
  <si>
    <t>02.2025 Hyundai Connected Mobi</t>
  </si>
  <si>
    <t>DE1000140</t>
  </si>
  <si>
    <t>INV-04912</t>
  </si>
  <si>
    <t>Lynk - Abo Koch 03.2025</t>
  </si>
  <si>
    <t>DE00027875</t>
  </si>
  <si>
    <t>DKV - Koch 03.2025</t>
  </si>
  <si>
    <t>25/642545435/000</t>
  </si>
  <si>
    <t>DKV - Elsner 03.2025</t>
  </si>
  <si>
    <t>Hyundai Connected Mobi</t>
  </si>
  <si>
    <t>DE1000307</t>
  </si>
  <si>
    <t>Lynk - Abo Koch 04.2025</t>
  </si>
  <si>
    <t>DE00029205</t>
  </si>
  <si>
    <t>DKV - Elsner 04.2025</t>
  </si>
  <si>
    <t>25/643164796/000</t>
  </si>
  <si>
    <t>DE1000521</t>
  </si>
  <si>
    <t>DKV - Koch 04.2025</t>
  </si>
  <si>
    <t>25/643516269/000</t>
  </si>
  <si>
    <t>Lynk - Abo Koch 05.2025</t>
  </si>
  <si>
    <t>DE00030253</t>
  </si>
  <si>
    <t>DKV - Koch 05.2025</t>
  </si>
  <si>
    <t>25/643791787/000</t>
  </si>
  <si>
    <t>DKV - Elsner 05.2025</t>
  </si>
  <si>
    <t>DE1000805</t>
  </si>
  <si>
    <t>25/644209949/000</t>
  </si>
  <si>
    <t>Lynk - Abo Koch 06.2025</t>
  </si>
  <si>
    <t>DE00030902</t>
  </si>
  <si>
    <t>DKV - Elsner 06.2025</t>
  </si>
  <si>
    <t>25/644488167/000</t>
  </si>
  <si>
    <t>DKV - Koch 06.2025</t>
  </si>
  <si>
    <t>DE1001139</t>
  </si>
  <si>
    <t>DKV -  Elsner 06.2025</t>
  </si>
  <si>
    <t>Lynk - Abo Koch 07.2025</t>
  </si>
  <si>
    <t>DE00031914</t>
  </si>
  <si>
    <t>DKV - Koch 07.2025</t>
  </si>
  <si>
    <t>25/645195132/000</t>
  </si>
  <si>
    <t>DKV - Elsner 07.2025</t>
  </si>
  <si>
    <t>DE1001531</t>
  </si>
  <si>
    <t>25/645441055/000</t>
  </si>
  <si>
    <t>Lynk - Abo Koch 08.2025</t>
  </si>
  <si>
    <t>DE00033324</t>
  </si>
  <si>
    <t>DKV - Elsner 08.2025</t>
  </si>
  <si>
    <t>RE100948355</t>
  </si>
  <si>
    <t>DKV - Koch 08.2025</t>
  </si>
  <si>
    <t>DE1001968</t>
  </si>
  <si>
    <t>25/646120502/000</t>
  </si>
  <si>
    <t>Lynk - Abo Koch 09.2025</t>
  </si>
  <si>
    <t>DE00033898</t>
  </si>
  <si>
    <t>DKV - Koch 09.2025</t>
  </si>
  <si>
    <t>25/646495216/000</t>
  </si>
  <si>
    <t>DE1002441</t>
  </si>
  <si>
    <t>44-001033075-05</t>
  </si>
  <si>
    <t>DKV - Elsner 09.2025</t>
  </si>
  <si>
    <t>Lynk - Abo Koch 10.2025</t>
  </si>
  <si>
    <t>DE00034473</t>
  </si>
  <si>
    <t>DKV - Elsner 10.2025</t>
  </si>
  <si>
    <t>25/647017299/000</t>
  </si>
  <si>
    <t>DKV - Koch 10.2025</t>
  </si>
  <si>
    <t>DE1002932</t>
  </si>
  <si>
    <t>25/647402931/000</t>
  </si>
  <si>
    <t>Lynk - Abo Koch 11.2025</t>
  </si>
  <si>
    <t>DE00034981</t>
  </si>
  <si>
    <t>DKV - Elsner 11.2025</t>
  </si>
  <si>
    <t>25/647746220/000</t>
  </si>
  <si>
    <t>DKV - Koch 11.2025</t>
  </si>
  <si>
    <t>DE1003471</t>
  </si>
  <si>
    <t>25/648165878/000</t>
  </si>
  <si>
    <t>Lynk - Abo Koch 12.2025</t>
  </si>
  <si>
    <t>DE00035439</t>
  </si>
  <si>
    <t>DKV - Elsner 12.2025</t>
  </si>
  <si>
    <t>25/648348205/000</t>
  </si>
  <si>
    <t>DKV - Koch 12.2025</t>
  </si>
  <si>
    <t>DE1004056</t>
  </si>
  <si>
    <t>25/648791287/000</t>
  </si>
  <si>
    <t>FONT LICENSE</t>
  </si>
  <si>
    <t>FiverrEU</t>
  </si>
  <si>
    <t>F175673921752</t>
  </si>
  <si>
    <t>FI51674226866</t>
  </si>
  <si>
    <t>CONTENTGORILLA AI - C</t>
  </si>
  <si>
    <t>8b2ac0e0-2527-418f-91cb-1d5e1bca80fa</t>
  </si>
  <si>
    <t>FS *clideo.com</t>
  </si>
  <si>
    <t>IVAT2KF4GGHVGRZP56XZK532NQDE</t>
  </si>
  <si>
    <t>AI GLOBAL MEDIA LTD.</t>
  </si>
  <si>
    <t>INV-048396</t>
  </si>
  <si>
    <t>GOOGLE *ADS3533062990</t>
  </si>
  <si>
    <t>3938-0737-8429</t>
  </si>
  <si>
    <t>P19Jk10C</t>
  </si>
  <si>
    <t>Google ADS3533062990</t>
  </si>
  <si>
    <t>A89769474379500885</t>
  </si>
  <si>
    <t>P1a2XuQr</t>
  </si>
  <si>
    <t>A41555796397826379</t>
  </si>
  <si>
    <t>P1aeLHO9</t>
  </si>
  <si>
    <t>A25142132370770574</t>
  </si>
  <si>
    <t>Eurostar Software Testing Conferences - Ticket Me</t>
  </si>
  <si>
    <t>902-59</t>
  </si>
  <si>
    <t>Wegweiser - Messekosten 06.2025</t>
  </si>
  <si>
    <t>2025-3706</t>
  </si>
  <si>
    <t>Hartmann 20 J-Jubiläum</t>
  </si>
  <si>
    <t>K2206234701/25-000299</t>
  </si>
  <si>
    <t>INTERNETFLORIST.BIZ Voroshina Blumen</t>
  </si>
  <si>
    <t>INTERNETFLORIST.BIZ Mazepa Österrecih</t>
  </si>
  <si>
    <t>WWW.AMAZON.* R71B05K64 Ryszard Danielczyk</t>
  </si>
  <si>
    <t>304-7146532-7239545</t>
  </si>
  <si>
    <t>COLVIN EUROPE SL</t>
  </si>
  <si>
    <t>F91A86B5</t>
  </si>
  <si>
    <t>PORTMONE.COM*FLOWERS</t>
  </si>
  <si>
    <t>Euroflorist sp. z o.o. Kecik</t>
  </si>
  <si>
    <t>PL23045719</t>
  </si>
  <si>
    <t>ZAKAZBUKETOV.KZ</t>
  </si>
  <si>
    <t>WWW.AMAZON.* ZD1FI32R4</t>
  </si>
  <si>
    <t>EUVINS1-OFS-DE-349165705</t>
  </si>
  <si>
    <t>Nova Post</t>
  </si>
  <si>
    <t>SHDE7120136434</t>
  </si>
  <si>
    <t>SHDE9739359736</t>
  </si>
  <si>
    <t>Wolt</t>
  </si>
  <si>
    <t>GLOVO</t>
  </si>
  <si>
    <t>UBER   *EATS</t>
  </si>
  <si>
    <t>-</t>
  </si>
  <si>
    <t>BOLT.EU</t>
  </si>
  <si>
    <t>7990733-UA1425-63</t>
  </si>
  <si>
    <t>BOLT.EU/D/2512191306</t>
  </si>
  <si>
    <t>DTUCS</t>
  </si>
  <si>
    <t>WWW.AMAZON.* ZD99602D4</t>
  </si>
  <si>
    <t>EUVINS1-OFS-DE-349164745</t>
  </si>
  <si>
    <t>AMZN*ZD2TI4SB4</t>
  </si>
  <si>
    <t>PL55RVJ8AEUI</t>
  </si>
  <si>
    <t>AMZN*ZD4866S54</t>
  </si>
  <si>
    <t>PL55RVJZAEUI</t>
  </si>
  <si>
    <t>AMZN*ZD4201SY4</t>
  </si>
  <si>
    <t>PL55RVK2AEUI</t>
  </si>
  <si>
    <t>LIQPAY*MakeUP</t>
  </si>
  <si>
    <t>1766480033-3340</t>
  </si>
  <si>
    <t>WWW.AMAZON.* ZD6EA3254</t>
  </si>
  <si>
    <t>407-4328657-2200325</t>
  </si>
  <si>
    <t>DREAM-MOMENTS.KZ</t>
  </si>
  <si>
    <t>EVERYPAY*SKROUTZ</t>
  </si>
  <si>
    <t>AMAZON MKTPL*WN3CK5BQ3</t>
  </si>
  <si>
    <t>114-2033627-3152202</t>
  </si>
  <si>
    <t>AMAZON MKTPL*CX9H19PW3</t>
  </si>
  <si>
    <t>114-6352551-0799456</t>
  </si>
  <si>
    <t>Bewirtung (Ausland) The Lost Close - Kundenveranstaltung Edi</t>
  </si>
  <si>
    <t>01.2025 Urban Sports Buzik</t>
  </si>
  <si>
    <t>1366900-238252</t>
  </si>
  <si>
    <t>01.2025 Urban Sports Weingartz</t>
  </si>
  <si>
    <t>Urban Sports - Buzik 02.2025</t>
  </si>
  <si>
    <t>1366900-248348</t>
  </si>
  <si>
    <t>Urban Sports - Weingartz 02.2025</t>
  </si>
  <si>
    <t>Urban Sports - Buzik 03.2025</t>
  </si>
  <si>
    <t>1366900-254919</t>
  </si>
  <si>
    <t>Urban Sports - Weingartz 03.2025</t>
  </si>
  <si>
    <t>INTERNETFLORIST.BIZ</t>
  </si>
  <si>
    <t>Urban Sports - Buzik 04.2025</t>
  </si>
  <si>
    <t>1366900-264734</t>
  </si>
  <si>
    <t>Urban Sports - Weingartz 04.2025</t>
  </si>
  <si>
    <t>1273b03e-4b84-4731-83b1-aad58415a840</t>
  </si>
  <si>
    <t>Urban Sports - Buzik 05.2025</t>
  </si>
  <si>
    <t>1366900-274532</t>
  </si>
  <si>
    <t>Urban Sports - Weingartz 05.2025</t>
  </si>
  <si>
    <t>Urban Sports - Buzik 06.2025</t>
  </si>
  <si>
    <t>1366900-282716</t>
  </si>
  <si>
    <t>Urban Sports - Weingartz 06.2025</t>
  </si>
  <si>
    <t>Mol*Fleurop AG</t>
  </si>
  <si>
    <t>Urban Sports - Buzik 07.2025</t>
  </si>
  <si>
    <t>1366900-292477</t>
  </si>
  <si>
    <t>Urban Sports - Weingartz 07.2025</t>
  </si>
  <si>
    <t>Urban Sports - Buzik 08.2025</t>
  </si>
  <si>
    <t>1366900-300320</t>
  </si>
  <si>
    <t>Urban Sports - Weingartz 08.2025</t>
  </si>
  <si>
    <t>Urban Sports - Buzik 09.2025</t>
  </si>
  <si>
    <t>1366900-308850</t>
  </si>
  <si>
    <t>Urban Sports - Weingartz 09.2025</t>
  </si>
  <si>
    <t>Urban Sports - Buzik 10.2025</t>
  </si>
  <si>
    <t>1366900-323340</t>
  </si>
  <si>
    <t>Urban Sports - Weingartz 10.2025</t>
  </si>
  <si>
    <t>Spreadshirt.net</t>
  </si>
  <si>
    <t>SP-27170057</t>
  </si>
  <si>
    <t>Urban Sports - Buzik 11.2025</t>
  </si>
  <si>
    <t>1366900-332256</t>
  </si>
  <si>
    <t>Urban Sports - Weingartz 11.2025</t>
  </si>
  <si>
    <t>WWW.AMAZON.* ZD2VW42I4</t>
  </si>
  <si>
    <t>WWW.AMAZON.* ZD47Q82B4</t>
  </si>
  <si>
    <t>EUVINS1-OFS-DE-349165944</t>
  </si>
  <si>
    <t>WWW.AMAZON.* ZD2XX82M4</t>
  </si>
  <si>
    <t>304-3856184-9333923</t>
  </si>
  <si>
    <t>WWW.AMAZON.* ZD8R152V4</t>
  </si>
  <si>
    <t>304-8180237-1443526</t>
  </si>
  <si>
    <t>Urban Sports - Buzik 12.2025</t>
  </si>
  <si>
    <t>1366900-337086</t>
  </si>
  <si>
    <t>Urban Sports - Weingartz 12.2025</t>
  </si>
  <si>
    <t>Frühstück (Hotel) B&amp;B Hotel Köln-City</t>
  </si>
  <si>
    <t>902-58</t>
  </si>
  <si>
    <t>Frühstück (Hotel) B&amp;B Hotel Köln-Airport</t>
  </si>
  <si>
    <t>Frühstück (Hotel) Hotel Titanic Chaussee Berlin</t>
  </si>
  <si>
    <t>902-61</t>
  </si>
  <si>
    <t>Kreditkartengebühr Hotel Edinburgh - Buchungsbebühr / Kredit</t>
  </si>
  <si>
    <t>Kreditkartengebühr Uber_02.06. Gebühren</t>
  </si>
  <si>
    <t>Kreditkartengebühr Kundenveranstaltung Gebühren</t>
  </si>
  <si>
    <t>Kreditkartengebühr Uber Gebühren 03.06._2</t>
  </si>
  <si>
    <t>Kreditkartengebühr Uber Gebühren 03.06.</t>
  </si>
  <si>
    <t>Kreditkartengebühr Uber 04.06. Gebühren</t>
  </si>
  <si>
    <t>Mietwagen Drive Now - Köln - Hotel zum Flughafen</t>
  </si>
  <si>
    <t>Mietwagen ShareNow - Konferenz - Flughafen</t>
  </si>
  <si>
    <t>902-60</t>
  </si>
  <si>
    <t>Mietwagen Free2move Deutschland Gmbh</t>
  </si>
  <si>
    <t>902-66</t>
  </si>
  <si>
    <t>Mietwagen Stanglmair Hyundai - Mietwagen</t>
  </si>
  <si>
    <t>902-67</t>
  </si>
  <si>
    <t>Hotel B&amp;B Hotel Köln-City</t>
  </si>
  <si>
    <t>Hotel B&amp;B Köln City - Kulturförderabgabe</t>
  </si>
  <si>
    <t>Hotel B&amp;B Hotel Köln-Airport</t>
  </si>
  <si>
    <t>Hotel B&amp;B Köln Airport - Kulturförderabgabe</t>
  </si>
  <si>
    <t>Hotel (Ausland) Mercure Hotels - Edinburgh (abzüglich Stroma</t>
  </si>
  <si>
    <t>Hotel BB Hotel Köln - Kulturförderabgabe</t>
  </si>
  <si>
    <t>Hotel Hotel Titanic Chaussee Berlin</t>
  </si>
  <si>
    <t>Hotel Hotel - The Green Köln</t>
  </si>
  <si>
    <t>902-62</t>
  </si>
  <si>
    <t>Hotel Übernachtungssteuer</t>
  </si>
  <si>
    <t>Hotel (Ausland) Hotel - Gartner Konferenzrate - Intercontine</t>
  </si>
  <si>
    <t>902-63</t>
  </si>
  <si>
    <t>Hotel Best Western Plus Hotel Köln City Hotel Köln - Übernac</t>
  </si>
  <si>
    <t>902-65</t>
  </si>
  <si>
    <t>Hotel Best Western Hotel - Übernachtungssteuer</t>
  </si>
  <si>
    <t>Hotel B&amp;B Hotel Köln-City - Übernachtungssteuer</t>
  </si>
  <si>
    <t>Hotel Crowne Plaza - Hotel</t>
  </si>
  <si>
    <t>902-64</t>
  </si>
  <si>
    <t>Hotel Crowne Plaza - Übernachtungssteuer</t>
  </si>
  <si>
    <t>Taxi (Ausland) Uber Edinburgh - Flughafen zum Hotel</t>
  </si>
  <si>
    <t>Flug Lufthansa Flug - München nach Edinburgh</t>
  </si>
  <si>
    <t>Parken Parken Flughafen München</t>
  </si>
  <si>
    <t>Taxi (Ausland) Uber - Edinburgh - Kundenveranstaltug zum Hot</t>
  </si>
  <si>
    <t>Taxi (Ausland) Uber Edingburgh - Hotel zur Kundenveranstaltu</t>
  </si>
  <si>
    <t>Taxi bis 50 km Uber - Köln Bahnhof - Hotel</t>
  </si>
  <si>
    <t>Flug Lufthansa - Edinburgh nach Frankfurt</t>
  </si>
  <si>
    <t>Taxi (Ausland) Uber - Hotel Edinburgh zum Flughafen</t>
  </si>
  <si>
    <t>Flug Lufthansa - Flug Köln nach München</t>
  </si>
  <si>
    <t>Parken Flughafen München Gmbh</t>
  </si>
  <si>
    <t>Flug Flug Lufthansa - MUC-BER-MUC</t>
  </si>
  <si>
    <t>Taxi bis 50 km Taxi - Flughafen - Konferenz</t>
  </si>
  <si>
    <t>Taxi bis 50 km Uber - Hotel - Veranstaltung</t>
  </si>
  <si>
    <t>Parken Titanic Hotel - Parken</t>
  </si>
  <si>
    <t>Taxi (Ausland) Kaya Transfer</t>
  </si>
  <si>
    <t>Flug Wizz Air Uk Limited</t>
  </si>
  <si>
    <t>Taxi (Ausland) Uber</t>
  </si>
  <si>
    <t>Flug Easyjet</t>
  </si>
  <si>
    <t>Taxi (Ausland) Transfer - Flughafen zum Zielort</t>
  </si>
  <si>
    <t>Parken Best Western Hotel - Parken</t>
  </si>
  <si>
    <t>Parken B&amp;B Hotel Köln-City - Parken</t>
  </si>
  <si>
    <t>Parken Contipark P. Gmbh Berlin</t>
  </si>
  <si>
    <t>Parken Crowne Plaza - Parken</t>
  </si>
  <si>
    <t>Flug Lufthansa - Köln nach München</t>
  </si>
  <si>
    <t>Flug Lufthansa - München nach Düsseldorf</t>
  </si>
  <si>
    <t>Taxi bis 50 km Uber - HQ-Flughafen</t>
  </si>
  <si>
    <t>Parken Flughafen Düsseldorf - Parken</t>
  </si>
  <si>
    <t>Parken Motel One - Parken - Microsoft Partner Konferenz</t>
  </si>
  <si>
    <t>Bus/Bahn über 50 km Deutsche Bahn - Frankfurt Flughafen nach</t>
  </si>
  <si>
    <t>Bus/Bahn bis 50 km BVG</t>
  </si>
  <si>
    <t>Bus/Bahn über 50 km DB - DE Ticket 11.2025</t>
  </si>
  <si>
    <t>2025-4-11-32153</t>
  </si>
  <si>
    <t>Tagespauschale Inland Kundentermine Köln</t>
  </si>
  <si>
    <t>Kürzung Mahlzeiten Kundentermine Köln</t>
  </si>
  <si>
    <t>Tagespauschale Inland Geschäftsreise Edinburg (UK) &amp; Köln</t>
  </si>
  <si>
    <t>Tagespauschale Ausland Geschäftsreise Edinburg (UK) &amp; Köln</t>
  </si>
  <si>
    <t>Kürzung Mahlzeiten Geschäftsreise Edinburg (UK) &amp; Köln</t>
  </si>
  <si>
    <t>Tagespauschale Inland Geschäftsreise Berlin</t>
  </si>
  <si>
    <t>Kürzung Mahlzeiten Geschäftsreise Berlin</t>
  </si>
  <si>
    <t>Tagespauschale Inland Termine Köln &amp; Mitarbeiterveranstaltun</t>
  </si>
  <si>
    <t>Kürzung Mahlzeiten Termine Köln &amp; Mitarbeiterveranstaltung</t>
  </si>
  <si>
    <t>Tagespauschale Ausland Gartner Konferenz London</t>
  </si>
  <si>
    <t>Kürzung Mahlzeiten Gartner Konferenz London</t>
  </si>
  <si>
    <t>Tagespauschale Inland Geschäftstermine Bonn, Neuss &amp; Köln</t>
  </si>
  <si>
    <t>Kürzung Mahlzeiten Geschäftstermine Bonn, Neuss &amp; Köln</t>
  </si>
  <si>
    <t>Tagespauschale Inland Smart Country Convention Berlin</t>
  </si>
  <si>
    <t>Kürzung Mahlzeiten Smart Country Convention Berlin</t>
  </si>
  <si>
    <t>Kobentar 01.2025</t>
  </si>
  <si>
    <t>010724-250201</t>
  </si>
  <si>
    <t>Majid 01.2025</t>
  </si>
  <si>
    <t>Mazepa 01.2025</t>
  </si>
  <si>
    <t>150523-250201</t>
  </si>
  <si>
    <t>Kecik 01.2025</t>
  </si>
  <si>
    <t>150724-250201</t>
  </si>
  <si>
    <t>Chabanova 01.2025</t>
  </si>
  <si>
    <t>00204-1111</t>
  </si>
  <si>
    <t>02.2025 Mazepa</t>
  </si>
  <si>
    <t>Kobentar 02.2025</t>
  </si>
  <si>
    <t>010724-250301</t>
  </si>
  <si>
    <t>Majid 02.2025</t>
  </si>
  <si>
    <t>02.2025 Kecik ü. Useme</t>
  </si>
  <si>
    <t>UM344HDN</t>
  </si>
  <si>
    <t>Mykyta Korobov 02.2025</t>
  </si>
  <si>
    <t>280125-250303</t>
  </si>
  <si>
    <t>Chabanova 02.2025</t>
  </si>
  <si>
    <t>00304-1127</t>
  </si>
  <si>
    <t>Chabanova 03.2025</t>
  </si>
  <si>
    <t>00401-1735</t>
  </si>
  <si>
    <t>Kobentar 03.2025</t>
  </si>
  <si>
    <t>010724-250401</t>
  </si>
  <si>
    <t>Bartosz Rutkowski 03.2025</t>
  </si>
  <si>
    <t>030325-250401</t>
  </si>
  <si>
    <t>Majid 03.2025</t>
  </si>
  <si>
    <t>JSGC 03.2025</t>
  </si>
  <si>
    <t>100325-250401</t>
  </si>
  <si>
    <t>Mazepa 03.2025</t>
  </si>
  <si>
    <t>150523-250401</t>
  </si>
  <si>
    <t>Kecik 03.2025</t>
  </si>
  <si>
    <t>150724-250401</t>
  </si>
  <si>
    <t>Mykyta Korobov 03.2025</t>
  </si>
  <si>
    <t>280125-250401</t>
  </si>
  <si>
    <t>Kobentar 04.2025</t>
  </si>
  <si>
    <t>010724-250501</t>
  </si>
  <si>
    <t>Bartosz Rutkowski 04.2025</t>
  </si>
  <si>
    <t>030325-250501</t>
  </si>
  <si>
    <t>Majid 04.2025</t>
  </si>
  <si>
    <t>JSGC - Sales 04.2025</t>
  </si>
  <si>
    <t>100325-250501</t>
  </si>
  <si>
    <t>Mazepa 04.2025</t>
  </si>
  <si>
    <t>150523-250501</t>
  </si>
  <si>
    <t>Kecik 04.2025</t>
  </si>
  <si>
    <t>150724-250501</t>
  </si>
  <si>
    <t>Mykyta Korobov 04.2025</t>
  </si>
  <si>
    <t>280125-250501</t>
  </si>
  <si>
    <t>Kobentar 05.2025</t>
  </si>
  <si>
    <t>010724-250601</t>
  </si>
  <si>
    <t>Bartosz Rutkowski 05.2025</t>
  </si>
  <si>
    <t>030325-250601</t>
  </si>
  <si>
    <t>Danielczyk 05.2025</t>
  </si>
  <si>
    <t>060525-250602</t>
  </si>
  <si>
    <t>Majid 05.2025</t>
  </si>
  <si>
    <t>JSGC - Sales 05.2025</t>
  </si>
  <si>
    <t>100325-250601</t>
  </si>
  <si>
    <t>Kecik 05.2025</t>
  </si>
  <si>
    <t>150724-250602</t>
  </si>
  <si>
    <t>Mykyta Korobov 05.2025</t>
  </si>
  <si>
    <t>280125-250601</t>
  </si>
  <si>
    <t>Chmielewski 05.2025</t>
  </si>
  <si>
    <t>Kobentar 06.2025</t>
  </si>
  <si>
    <t>010724-250701</t>
  </si>
  <si>
    <t>Bartosz Rutkowski 06.2025</t>
  </si>
  <si>
    <t>030325-250701</t>
  </si>
  <si>
    <t>Majid 06.2025</t>
  </si>
  <si>
    <t>Fundacja Chmielewski 06.2025</t>
  </si>
  <si>
    <t>1/FSZ/CZE/07/2025</t>
  </si>
  <si>
    <t>JSGC - Sales 06.2025</t>
  </si>
  <si>
    <t>100325-250701</t>
  </si>
  <si>
    <t>Kecik 06.2025</t>
  </si>
  <si>
    <t>150724-250701</t>
  </si>
  <si>
    <t>Korobov 06.2025</t>
  </si>
  <si>
    <t>280125-250701</t>
  </si>
  <si>
    <t>Danielczyk 06.2025</t>
  </si>
  <si>
    <t>UM53RGFZ</t>
  </si>
  <si>
    <t>Kobentar 07.2025</t>
  </si>
  <si>
    <t>010724-250801</t>
  </si>
  <si>
    <t>Bartosz Rutkowski 07.2025</t>
  </si>
  <si>
    <t>030325-250801</t>
  </si>
  <si>
    <t>Majid 07.2025</t>
  </si>
  <si>
    <t>JSGC - Sales 07.2025</t>
  </si>
  <si>
    <t>100325-250801</t>
  </si>
  <si>
    <t>Kecik 07.2025</t>
  </si>
  <si>
    <t>150724-250801</t>
  </si>
  <si>
    <t>Fundacja Chmielewski 07.2025</t>
  </si>
  <si>
    <t>2/FSZ/CZE/08/2025</t>
  </si>
  <si>
    <t>Mykyta Korobov 07.2025</t>
  </si>
  <si>
    <t>280125-250801</t>
  </si>
  <si>
    <t>Danielczyk 07.2025</t>
  </si>
  <si>
    <t>UM6J5W45</t>
  </si>
  <si>
    <t>Kobentar 08.2025</t>
  </si>
  <si>
    <t>010724-250901</t>
  </si>
  <si>
    <t>030325-250901</t>
  </si>
  <si>
    <t>Danielczyk 08.2025</t>
  </si>
  <si>
    <t>060525-250901</t>
  </si>
  <si>
    <t>Fundacja Chmielewski 08.2025</t>
  </si>
  <si>
    <t>Majid 08.2025</t>
  </si>
  <si>
    <t>Kecik 08.2025</t>
  </si>
  <si>
    <t>150724-250901</t>
  </si>
  <si>
    <t>Mykyta Korobov 08.2025</t>
  </si>
  <si>
    <t>280125-250901</t>
  </si>
  <si>
    <t>Kobentar 09.2025</t>
  </si>
  <si>
    <t>010724-251001</t>
  </si>
  <si>
    <t>Bartosz Rutkowski 09.2025</t>
  </si>
  <si>
    <t>030325-251001</t>
  </si>
  <si>
    <t>Majid 09.2025</t>
  </si>
  <si>
    <t>Kecik 09.2025</t>
  </si>
  <si>
    <t>150724-251001</t>
  </si>
  <si>
    <t>Mykyta Korobov 09.2025</t>
  </si>
  <si>
    <t>280125-251001</t>
  </si>
  <si>
    <t>Danielczyk 09.2025</t>
  </si>
  <si>
    <t>UM7NQ3FV</t>
  </si>
  <si>
    <t>Fundacja Chmielewski 09.2025</t>
  </si>
  <si>
    <t>060525-251001</t>
  </si>
  <si>
    <t>Kobentar 10.2025</t>
  </si>
  <si>
    <t>010724-251101</t>
  </si>
  <si>
    <t>Bartosz Rutkowski 10.2025</t>
  </si>
  <si>
    <t>030325-251101</t>
  </si>
  <si>
    <t>Majid 10.2025</t>
  </si>
  <si>
    <t>090124-251104</t>
  </si>
  <si>
    <t>Kecik 10.2025</t>
  </si>
  <si>
    <t>150724-251103</t>
  </si>
  <si>
    <t>Mykyta Korobov 10.2025</t>
  </si>
  <si>
    <t>280125-251101</t>
  </si>
  <si>
    <t>Danielczyk 10.2025</t>
  </si>
  <si>
    <t>UM77T2QV</t>
  </si>
  <si>
    <t>Fundacja Chmielewski 10.2025</t>
  </si>
  <si>
    <t>060525-251101</t>
  </si>
  <si>
    <t>Kobentar 11.2025</t>
  </si>
  <si>
    <t>010724-251201</t>
  </si>
  <si>
    <t>Bartosz Rutkowski 11.2025</t>
  </si>
  <si>
    <t>030325-251201</t>
  </si>
  <si>
    <t>Danielczyk 11.2025</t>
  </si>
  <si>
    <t>060525-251201</t>
  </si>
  <si>
    <t>Majid 11.2025</t>
  </si>
  <si>
    <t>Kecik 11.2025</t>
  </si>
  <si>
    <t>150724-251201</t>
  </si>
  <si>
    <t>Mykyta Korobov 11.2025</t>
  </si>
  <si>
    <t>280125-251201</t>
  </si>
  <si>
    <t>Fundacja Chmielewski 11.2025</t>
  </si>
  <si>
    <t>Kobentar 12.2025</t>
  </si>
  <si>
    <t>010724-260101</t>
  </si>
  <si>
    <t>Bartosz Rutkowski 12.2025</t>
  </si>
  <si>
    <t>030325-260101</t>
  </si>
  <si>
    <t>Chmielewski 12.2025</t>
  </si>
  <si>
    <t>060525-260101</t>
  </si>
  <si>
    <t>Danielczyk 12.2025</t>
  </si>
  <si>
    <t>Majid 12.2025</t>
  </si>
  <si>
    <t>090124-260101</t>
  </si>
  <si>
    <t>Kecik 12.2025</t>
  </si>
  <si>
    <t>150724-260101</t>
  </si>
  <si>
    <t>Rasiak 12.2025</t>
  </si>
  <si>
    <t>221225-260102</t>
  </si>
  <si>
    <t>Mykyta Korobov 12.2025</t>
  </si>
  <si>
    <t>280125-260101</t>
  </si>
  <si>
    <t>Geeky Tech - Marketing</t>
  </si>
  <si>
    <t>INV-04855</t>
  </si>
  <si>
    <t>Geeky Tech - Marketing 01.2025</t>
  </si>
  <si>
    <t>INV-04875</t>
  </si>
  <si>
    <t>Edhars Ternovyi 01.2025</t>
  </si>
  <si>
    <t>010321-250201</t>
  </si>
  <si>
    <t>Paulina Palek 01.2025</t>
  </si>
  <si>
    <t>170624-250201</t>
  </si>
  <si>
    <t>Suleymanov 01.2025</t>
  </si>
  <si>
    <t>270223-250201</t>
  </si>
  <si>
    <t>Geeky Tech - Marketing 02.2025</t>
  </si>
  <si>
    <t>Suleymanov 02.2025</t>
  </si>
  <si>
    <t>270223-250301</t>
  </si>
  <si>
    <t>Paulina Palek 02.2025</t>
  </si>
  <si>
    <t>UM3444QZ</t>
  </si>
  <si>
    <t>Geeky Tech - Marketing 03.2025</t>
  </si>
  <si>
    <t>INV-04954</t>
  </si>
  <si>
    <t>Paulina Palek 03.2025</t>
  </si>
  <si>
    <t>170624-250401</t>
  </si>
  <si>
    <t>Suleymanov 03.2025</t>
  </si>
  <si>
    <t>270223-250401</t>
  </si>
  <si>
    <t>Bilytska - SEO service 04.2025</t>
  </si>
  <si>
    <t>14B/25</t>
  </si>
  <si>
    <t>Suleymanov 04.2025</t>
  </si>
  <si>
    <t>270223-250501</t>
  </si>
  <si>
    <t>Bilytska - SEO service 05.2025</t>
  </si>
  <si>
    <t>17B/25</t>
  </si>
  <si>
    <t>Paulina Palek 05.2025</t>
  </si>
  <si>
    <t>170624-250601</t>
  </si>
  <si>
    <t>Suleymanov 05.2025</t>
  </si>
  <si>
    <t>270223-250601</t>
  </si>
  <si>
    <t>Bilytska - SEO service 06.2025</t>
  </si>
  <si>
    <t>20B/25</t>
  </si>
  <si>
    <t>Suleymanov 06.2025</t>
  </si>
  <si>
    <t>270223-250701</t>
  </si>
  <si>
    <t>Paulina Palek 06.2025 useme</t>
  </si>
  <si>
    <t>UM54CTP2</t>
  </si>
  <si>
    <t>Bilytska - SEO service 07.2025</t>
  </si>
  <si>
    <t>22B/25</t>
  </si>
  <si>
    <t>Suleymanov 07.2025</t>
  </si>
  <si>
    <t>270223-250801</t>
  </si>
  <si>
    <t>Paulina Palek 07.2025 useme</t>
  </si>
  <si>
    <t>UM6LGW3D</t>
  </si>
  <si>
    <t>Bilytska - SEO service 08.2025</t>
  </si>
  <si>
    <t>27B/25</t>
  </si>
  <si>
    <t>Suleymanov 08.2025</t>
  </si>
  <si>
    <t>DEELATM4UN</t>
  </si>
  <si>
    <t>Paulina Palek 08.2025 useme</t>
  </si>
  <si>
    <t>UM64J34D</t>
  </si>
  <si>
    <t>Bilytska - SEO service 09.2025</t>
  </si>
  <si>
    <t>29B/25</t>
  </si>
  <si>
    <t>Suleymanov 09.2025</t>
  </si>
  <si>
    <t>DEEL8SP225</t>
  </si>
  <si>
    <t>Paulina Palek 09.2025 useme</t>
  </si>
  <si>
    <t>UM7LR6NJ</t>
  </si>
  <si>
    <t>Bilytska - SEO service 10.2025</t>
  </si>
  <si>
    <t>32B/25</t>
  </si>
  <si>
    <t>Suleymanov 10.2025</t>
  </si>
  <si>
    <t>Deel6EDWKX</t>
  </si>
  <si>
    <t>Vehera 10.2025</t>
  </si>
  <si>
    <t>73-251103</t>
  </si>
  <si>
    <t>Paulina Palek 10.2025 useme</t>
  </si>
  <si>
    <t>UM77FRLK</t>
  </si>
  <si>
    <t>Bilytska - SEO service 11.2025</t>
  </si>
  <si>
    <t>34B/25</t>
  </si>
  <si>
    <t>Suleymanov 11.2025</t>
  </si>
  <si>
    <t>270223-251201</t>
  </si>
  <si>
    <t>Paulina Palek 11.2025 useme</t>
  </si>
  <si>
    <t>170624-251201</t>
  </si>
  <si>
    <t>Vehera 11.2025</t>
  </si>
  <si>
    <t>73-251201</t>
  </si>
  <si>
    <t>Bilytska - SEO service 12.2025</t>
  </si>
  <si>
    <t>36B/25</t>
  </si>
  <si>
    <t>Edhars Ternovyi 12.2025</t>
  </si>
  <si>
    <t>010321-260101</t>
  </si>
  <si>
    <t>Paulina Palek 12.2025</t>
  </si>
  <si>
    <t>170624-260101</t>
  </si>
  <si>
    <t>Chadin 12.2025</t>
  </si>
  <si>
    <t>25180422-260101</t>
  </si>
  <si>
    <t>Suleymanov 12.2025</t>
  </si>
  <si>
    <t>270223-260101</t>
  </si>
  <si>
    <t>Vehera 12.2025</t>
  </si>
  <si>
    <t>73-260101</t>
  </si>
  <si>
    <t>Pavlova 01.2025</t>
  </si>
  <si>
    <t>011221-250201</t>
  </si>
  <si>
    <t>Hornysh 01.2025</t>
  </si>
  <si>
    <t>030321-250201</t>
  </si>
  <si>
    <t>Chabanov 01.2025</t>
  </si>
  <si>
    <t>141220-250201</t>
  </si>
  <si>
    <t>Pavlova 02.2025</t>
  </si>
  <si>
    <t>011221-250301</t>
  </si>
  <si>
    <t>Hornysh 02.2025</t>
  </si>
  <si>
    <t>030321-250301</t>
  </si>
  <si>
    <t>Chabanov 02.2025</t>
  </si>
  <si>
    <t>141220-250301</t>
  </si>
  <si>
    <t>Pavlova 03.2025</t>
  </si>
  <si>
    <t>011221-250401</t>
  </si>
  <si>
    <t>Hornysh 03.2025</t>
  </si>
  <si>
    <t>030321-250401</t>
  </si>
  <si>
    <t>Chabanov 03.2025</t>
  </si>
  <si>
    <t>141220-250402</t>
  </si>
  <si>
    <t>Pavlova 04.2025</t>
  </si>
  <si>
    <t>011221-250501</t>
  </si>
  <si>
    <t>Hornysh 04.2025</t>
  </si>
  <si>
    <t>030321-250501</t>
  </si>
  <si>
    <t>Chabanov 04.2025</t>
  </si>
  <si>
    <t>141220-250501</t>
  </si>
  <si>
    <t>Pavlova 05.2025</t>
  </si>
  <si>
    <t>011221-250601</t>
  </si>
  <si>
    <t>Hornysh 05.2025</t>
  </si>
  <si>
    <t>030321-250601</t>
  </si>
  <si>
    <t>Chabanov 05.2025</t>
  </si>
  <si>
    <t>141220-250602</t>
  </si>
  <si>
    <t>Pavlova 06.2025</t>
  </si>
  <si>
    <t>011221-250701</t>
  </si>
  <si>
    <t>Hornysh 06.2025</t>
  </si>
  <si>
    <t>030321-250701</t>
  </si>
  <si>
    <t>Chabanov 06.2025</t>
  </si>
  <si>
    <t>141220-250701</t>
  </si>
  <si>
    <t>Pavlova 07.2025</t>
  </si>
  <si>
    <t>011221-250801</t>
  </si>
  <si>
    <t>Hornysh 07.2025</t>
  </si>
  <si>
    <t>030321-250801</t>
  </si>
  <si>
    <t>Chabanov 07.2025</t>
  </si>
  <si>
    <t>141220-250801</t>
  </si>
  <si>
    <t>Pavlova 08.2025</t>
  </si>
  <si>
    <t>011221-250901</t>
  </si>
  <si>
    <t>Hornysh 08.2025</t>
  </si>
  <si>
    <t>030321-250901</t>
  </si>
  <si>
    <t>Chabanov 08.2025</t>
  </si>
  <si>
    <t>141220-250901</t>
  </si>
  <si>
    <t>Pavlova 09.2025</t>
  </si>
  <si>
    <t>011221-251001</t>
  </si>
  <si>
    <t>Hornysh 09.2025</t>
  </si>
  <si>
    <t>030321-251001</t>
  </si>
  <si>
    <t>Chabanov 09.2025</t>
  </si>
  <si>
    <t>141220-251001</t>
  </si>
  <si>
    <t>Pavlova 10.2025</t>
  </si>
  <si>
    <t>011221-251101</t>
  </si>
  <si>
    <t>Hornysh 10.2025</t>
  </si>
  <si>
    <t>030321-251101</t>
  </si>
  <si>
    <t>Chabanov 10.2025</t>
  </si>
  <si>
    <t>141220-251101</t>
  </si>
  <si>
    <t>Pavlova 11.2025</t>
  </si>
  <si>
    <t>011221-251201</t>
  </si>
  <si>
    <t>Hornysh 11.2025</t>
  </si>
  <si>
    <t>030321-251201</t>
  </si>
  <si>
    <t>Chabanov 11.2025</t>
  </si>
  <si>
    <t>141220-251201</t>
  </si>
  <si>
    <t>Pavlova 12.2025</t>
  </si>
  <si>
    <t>011221-260101</t>
  </si>
  <si>
    <t>Peter Mertsch - Porto 01.2025</t>
  </si>
  <si>
    <t>Peter Mertsch - Porto 02.2025</t>
  </si>
  <si>
    <t>Deutsche Post AG</t>
  </si>
  <si>
    <t>FEDEX EXPRESS GERMANY</t>
  </si>
  <si>
    <t>Peter Mertsch - Porto 12.2025</t>
  </si>
  <si>
    <t>Umlage andagon Holding Telefon</t>
  </si>
  <si>
    <t>Telekom - Mobilfunk 01.2025</t>
  </si>
  <si>
    <t>Telekom - Mobilfunk 02.2025</t>
  </si>
  <si>
    <t>Zoiper</t>
  </si>
  <si>
    <t>SQUARETALK LTD</t>
  </si>
  <si>
    <t>1/023121</t>
  </si>
  <si>
    <t>Telekom - Mobilfunk 03.2025</t>
  </si>
  <si>
    <t>Telekom - Mobilfunk 04.2025</t>
  </si>
  <si>
    <t>1/023876</t>
  </si>
  <si>
    <t>Telekom - Mobilfunk 05.2025</t>
  </si>
  <si>
    <t>1/024111</t>
  </si>
  <si>
    <t>Telekom - Mobilfunk 06.2025</t>
  </si>
  <si>
    <t>Telekom - Mobilfunk 07.2025</t>
  </si>
  <si>
    <t>Telekom - Mobilfunk 08.2025</t>
  </si>
  <si>
    <t>1/025255</t>
  </si>
  <si>
    <t>Telekom - Mobilfunk 09.2025</t>
  </si>
  <si>
    <t>Telekom - Mobilfunk 10.2025</t>
  </si>
  <si>
    <t>1/025715</t>
  </si>
  <si>
    <t>Telekom - Mobilfunk 11.2025</t>
  </si>
  <si>
    <t>1/026029</t>
  </si>
  <si>
    <t>Telekom - Mobilfunk 12.2025</t>
  </si>
  <si>
    <t>Google CLOUD KNQRvX</t>
  </si>
  <si>
    <t>MONGODBCLOUD AQUA C...</t>
  </si>
  <si>
    <t>674bd20247c73d37dd7c06d8</t>
  </si>
  <si>
    <t>SERVERPILOT.IO</t>
  </si>
  <si>
    <t>b86e48ef-5481-4c1b-9df2-3f77f137bbd3</t>
  </si>
  <si>
    <t>AWS EMEA</t>
  </si>
  <si>
    <t>EUINUA25-53432</t>
  </si>
  <si>
    <t>Microsoft-G073531215</t>
  </si>
  <si>
    <t>DE-TI2500022494</t>
  </si>
  <si>
    <t>Strato - Cyber Protect 01.2025</t>
  </si>
  <si>
    <t>DRP134411302</t>
  </si>
  <si>
    <t>Strato - Dedicated Windows 01.2025</t>
  </si>
  <si>
    <t>DRP134835793</t>
  </si>
  <si>
    <t>Microsoft-G072660960</t>
  </si>
  <si>
    <t>DE-T12500003845</t>
  </si>
  <si>
    <t>Strato - VPS Windows 01.2025</t>
  </si>
  <si>
    <t>DRP134952032</t>
  </si>
  <si>
    <t>Strato - Dedicated Windows 02.2025</t>
  </si>
  <si>
    <t>DRP135218947</t>
  </si>
  <si>
    <t>Google CLOUD VX8FWC</t>
  </si>
  <si>
    <t>18ebef95-2450-4ecb-984f-94689ec85796</t>
  </si>
  <si>
    <t>6774b30857d2a11723df6bcd</t>
  </si>
  <si>
    <t>Strato - Dedicated Windows 02.2025 Gutschrift</t>
  </si>
  <si>
    <t>DGP60829054</t>
  </si>
  <si>
    <t>MICROSOFT#G077426394</t>
  </si>
  <si>
    <t>DE-TI2500064985</t>
  </si>
  <si>
    <t>Strato - Cyber Protect 02.2025</t>
  </si>
  <si>
    <t>DRP135595129</t>
  </si>
  <si>
    <t>Strato - VPS Windows 02.2025</t>
  </si>
  <si>
    <t>DRP136241593</t>
  </si>
  <si>
    <t>Strato - Dedicated Windows 03.2025</t>
  </si>
  <si>
    <t>DRP136387624</t>
  </si>
  <si>
    <t>Google GSUITE_aqua-clo</t>
  </si>
  <si>
    <t>GOOGLE*CLOUD XXCFWS</t>
  </si>
  <si>
    <t>5c555052-26c3-474d-8017-57f39078bb1c</t>
  </si>
  <si>
    <t>679d9575da1e1e09ab462937</t>
  </si>
  <si>
    <t>Microsoft-G076485883</t>
  </si>
  <si>
    <t>DE-T12500054546</t>
  </si>
  <si>
    <t>Microsoft-G082048079</t>
  </si>
  <si>
    <t>DE-TI2500128953</t>
  </si>
  <si>
    <t>Strato - Cyber Protect 03.2025</t>
  </si>
  <si>
    <t>DRP136770760</t>
  </si>
  <si>
    <t>Strato - VPS Windows 03.2025</t>
  </si>
  <si>
    <t>DRP137391955</t>
  </si>
  <si>
    <t>Google GSUITE_aqua-tes</t>
  </si>
  <si>
    <t>67c2721d1b2ee33277900bdf</t>
  </si>
  <si>
    <t>Google CLOUD V4DNKz</t>
  </si>
  <si>
    <t>A33997335971802868</t>
  </si>
  <si>
    <t>MICROSOFT#G080413280</t>
  </si>
  <si>
    <t>DE-TI2500100918</t>
  </si>
  <si>
    <t>Strato - Dedicated Windows 04.2025</t>
  </si>
  <si>
    <t>DRP137559991</t>
  </si>
  <si>
    <t>zdVN3QjLWXLopanZ</t>
  </si>
  <si>
    <t>Microsoft-G086268179</t>
  </si>
  <si>
    <t>DE-TI2500168393</t>
  </si>
  <si>
    <t>Strato - VPS Windows 04.2025</t>
  </si>
  <si>
    <t>DRP138539335</t>
  </si>
  <si>
    <t>GOOGLE*CLOUD L5Z863</t>
  </si>
  <si>
    <t>67eb499b2e5f3f33a79a17b7</t>
  </si>
  <si>
    <t>Strato - Dedicated Windows 05.2025</t>
  </si>
  <si>
    <t>DRP138718165</t>
  </si>
  <si>
    <t>ec3fcc19-e0b1-423f-9cbe-19e69b0c9756</t>
  </si>
  <si>
    <t>Microsoft-G085037386</t>
  </si>
  <si>
    <t>G085037386</t>
  </si>
  <si>
    <t>Microsoft-G091596645</t>
  </si>
  <si>
    <t>G091596645</t>
  </si>
  <si>
    <t>Strato - VPS Windows 05.2025</t>
  </si>
  <si>
    <t>DRP139696253</t>
  </si>
  <si>
    <t>Google CLOUD wBZJFS</t>
  </si>
  <si>
    <t>6812da35365ec21c835b550a</t>
  </si>
  <si>
    <t>6c537c22-3af4-4e67-b0c8-ac8ce8dcd0c1</t>
  </si>
  <si>
    <t>Strato - Dedicated Windows 06.2025</t>
  </si>
  <si>
    <t>DRP139883326</t>
  </si>
  <si>
    <t>Strato - VPS Windows 06.2025</t>
  </si>
  <si>
    <t>DRP140865425</t>
  </si>
  <si>
    <t>Google CLOUD v7C8Cv</t>
  </si>
  <si>
    <t>683bb6924938ed2a4d084f00</t>
  </si>
  <si>
    <t>Strato - VPS Windows 07.2025</t>
  </si>
  <si>
    <t>DRP141023282</t>
  </si>
  <si>
    <t>MICROSOFT#G094680081</t>
  </si>
  <si>
    <t>G094680081</t>
  </si>
  <si>
    <t>J1KuZLpEFmt6UIWS</t>
  </si>
  <si>
    <t>Microsoft-G101525660</t>
  </si>
  <si>
    <t>G101525660</t>
  </si>
  <si>
    <t>DRP141997330</t>
  </si>
  <si>
    <t>Microsoft-G099868675</t>
  </si>
  <si>
    <t>G099868675</t>
  </si>
  <si>
    <t>Strato - VPS Windows 08.2025</t>
  </si>
  <si>
    <t>DRP142164536</t>
  </si>
  <si>
    <t>Google CLOUD 5NZBRG</t>
  </si>
  <si>
    <t>6863425a09cba3742300714b</t>
  </si>
  <si>
    <t>July2025</t>
  </si>
  <si>
    <t>Microsoft-G105841665</t>
  </si>
  <si>
    <t>G105841665</t>
  </si>
  <si>
    <t>DRP143133289</t>
  </si>
  <si>
    <t>DRP143224745</t>
  </si>
  <si>
    <t>GOOGLE*CLOUD 6XWJL9</t>
  </si>
  <si>
    <t>46966069-8ad9-4916-ab59-6f3524b51b2b</t>
  </si>
  <si>
    <t>688c241b7e04941c22a2a351</t>
  </si>
  <si>
    <t>Microsoft-G104959401</t>
  </si>
  <si>
    <t>DE-TI2500368791</t>
  </si>
  <si>
    <t>Strato - VPS Windows 09.2025</t>
  </si>
  <si>
    <t>DRP143302151</t>
  </si>
  <si>
    <t>Microsoft-G111685339</t>
  </si>
  <si>
    <t>DE-TI2500458099</t>
  </si>
  <si>
    <t>DRP144301328</t>
  </si>
  <si>
    <t>DRP144396144</t>
  </si>
  <si>
    <t>GOOGLE*CLOUD QDXC5C</t>
  </si>
  <si>
    <t>18173690-5683-4a7a-a253-a2258c435830</t>
  </si>
  <si>
    <t>68b4fef26b307073f7f45f66</t>
  </si>
  <si>
    <t>Strato - VPS Windows 10.2025</t>
  </si>
  <si>
    <t>DRP144472945</t>
  </si>
  <si>
    <t>Microsoft-G110663757</t>
  </si>
  <si>
    <t>G110663757</t>
  </si>
  <si>
    <t>MICROSOFT#G117652337</t>
  </si>
  <si>
    <t>DE-TI2500541402</t>
  </si>
  <si>
    <t>DRP145482105</t>
  </si>
  <si>
    <t>DRP145575374</t>
  </si>
  <si>
    <t>Strato - VPS Windows 11.2025</t>
  </si>
  <si>
    <t>DRP145654714</t>
  </si>
  <si>
    <t>GOOGLE*CLOUD GX9X45</t>
  </si>
  <si>
    <t>68dc8ddb4df4f06cb2b558fa</t>
  </si>
  <si>
    <t>ea4cdad5-fc07-434b-8f49-702491c4b278</t>
  </si>
  <si>
    <t>GOOGLE*CLOUD JDN7MW</t>
  </si>
  <si>
    <t>M9044332440278843</t>
  </si>
  <si>
    <t>Microsoft-G116364458</t>
  </si>
  <si>
    <t>DE-TI2500516508</t>
  </si>
  <si>
    <t>MICROSOFT#G115854710</t>
  </si>
  <si>
    <t>G115854710</t>
  </si>
  <si>
    <t>MICROSOFT PAYMENTS</t>
  </si>
  <si>
    <t>G116554108</t>
  </si>
  <si>
    <t>Microsoft-G118305589</t>
  </si>
  <si>
    <t>G118305589</t>
  </si>
  <si>
    <t>Microsoft-G123345120</t>
  </si>
  <si>
    <t>DE-TI2500615435</t>
  </si>
  <si>
    <t>DRP146760687</t>
  </si>
  <si>
    <t>DRP146838985</t>
  </si>
  <si>
    <t>69056ef13441c5465ab214ff</t>
  </si>
  <si>
    <t>8ayJqfb6L9umK14a</t>
  </si>
  <si>
    <t>GOOGLE*CLOUD W5FNTV</t>
  </si>
  <si>
    <t>c7f9316b-79e3-4070-a834-962e38e0d109</t>
  </si>
  <si>
    <t>DRP146912579</t>
  </si>
  <si>
    <t>GOOGLE*CLOUD XQZX2N</t>
  </si>
  <si>
    <t>c1f01520-87f4-4573-84c2-f34831b81def</t>
  </si>
  <si>
    <t>MICROSOFT#G121879791</t>
  </si>
  <si>
    <t>DE-T12500582854</t>
  </si>
  <si>
    <t>MICROSOFT#G122040890</t>
  </si>
  <si>
    <t>Microsoft-G123768557</t>
  </si>
  <si>
    <t>G123768557</t>
  </si>
  <si>
    <t>Microsoft-G128693530</t>
  </si>
  <si>
    <t>G128693530</t>
  </si>
  <si>
    <t>Strato - VPS Windows 12.2025</t>
  </si>
  <si>
    <t>DRP147528372</t>
  </si>
  <si>
    <t>DRP147905641</t>
  </si>
  <si>
    <t>DRP147997227</t>
  </si>
  <si>
    <t>GALERIA KAUFHOF KÖLN H</t>
  </si>
  <si>
    <t>TK Maxx</t>
  </si>
  <si>
    <t>ft287D4IT1447</t>
  </si>
  <si>
    <t>AMZN Mktp DE*Z10IO3G44</t>
  </si>
  <si>
    <t>DS-AEU-INV-DE-2025-618989951</t>
  </si>
  <si>
    <t>Cert-IT - CTFL Prüfung Kobentar 03.2025</t>
  </si>
  <si>
    <t>2025-R-1205</t>
  </si>
  <si>
    <t>Cert-IT - Ali 12.2025</t>
  </si>
  <si>
    <t>2025-R-2000</t>
  </si>
  <si>
    <t>2025-R-2050</t>
  </si>
  <si>
    <t>heydata - Datenschutz 01.2025</t>
  </si>
  <si>
    <t>CR-2025-01-6609</t>
  </si>
  <si>
    <t>heydata - Datenschutz 02.2025</t>
  </si>
  <si>
    <t>CR-2025-02-7221</t>
  </si>
  <si>
    <t>heydata - Datenschutz 03.2025</t>
  </si>
  <si>
    <t>CR-2025-03-1130</t>
  </si>
  <si>
    <t>Amtsgericht Köln - Eintragung &amp; Bereitstellung App4Business</t>
  </si>
  <si>
    <t>X729436565125X</t>
  </si>
  <si>
    <t>Amtsgericht Köln - Eintragung &amp; Bereitstellung</t>
  </si>
  <si>
    <t>X729444615128</t>
  </si>
  <si>
    <t>heydata - Datenschutz 04.2025</t>
  </si>
  <si>
    <t>CR-2025-04-1974</t>
  </si>
  <si>
    <t>heydata - Datenschutz 05.2025</t>
  </si>
  <si>
    <t>CR-2025-05-2345</t>
  </si>
  <si>
    <t>04.2025 Krücken &amp; Kollegen</t>
  </si>
  <si>
    <t>Krücken &amp; Kollegen 05.2025</t>
  </si>
  <si>
    <t>HeyData RST</t>
  </si>
  <si>
    <t>heydata - Datenschutz 06.2025</t>
  </si>
  <si>
    <t>CR-2025-06-2941</t>
  </si>
  <si>
    <t>heydata - Datenschutz 07.2025</t>
  </si>
  <si>
    <t>CR-2025-07-3537</t>
  </si>
  <si>
    <t>VRT - Steuerberatung int.</t>
  </si>
  <si>
    <t>Krücken &amp; Kollegen 07.2025</t>
  </si>
  <si>
    <t>heydata - Datenschutz 08.2025</t>
  </si>
  <si>
    <t>CR-2025-08-4150</t>
  </si>
  <si>
    <t>heydata - Datenschutz 09.2025</t>
  </si>
  <si>
    <t>CR-2025-09-4766</t>
  </si>
  <si>
    <t>heydata - Datenschutz 10.2025</t>
  </si>
  <si>
    <t>CR-2025-10-5404</t>
  </si>
  <si>
    <t>heydata - Datenschutz 11.2025</t>
  </si>
  <si>
    <t>CR-2025-11-6054</t>
  </si>
  <si>
    <t>heydata - Datenschutz 12.2025</t>
  </si>
  <si>
    <t>CR-2025-12-6742</t>
  </si>
  <si>
    <t>VRT - Steuerberatung Allgemein 07.-09.2025</t>
  </si>
  <si>
    <t>VRT - Steuerberatung Allgemein 02.-06.2025</t>
  </si>
  <si>
    <t>Cyber Threat Defense - Beratung</t>
  </si>
  <si>
    <t>E0800VN1K9</t>
  </si>
  <si>
    <t>INTERCERT INC</t>
  </si>
  <si>
    <t>IC/US/01/024</t>
  </si>
  <si>
    <t>SysGears 01.2025</t>
  </si>
  <si>
    <t>IC/US/02/011</t>
  </si>
  <si>
    <t>Gartner - Beratung 03.2025-12.2025</t>
  </si>
  <si>
    <t>SysGears 02.2025</t>
  </si>
  <si>
    <t>SysGears 03.2025</t>
  </si>
  <si>
    <t>SysGears 04.2025</t>
  </si>
  <si>
    <t>SysGears 05.2025</t>
  </si>
  <si>
    <t>Sprinto 06.2025-05.2026</t>
  </si>
  <si>
    <t>SysGears 06.2025</t>
  </si>
  <si>
    <t>SysGears 07.2025</t>
  </si>
  <si>
    <t>SysGears 08.2025</t>
  </si>
  <si>
    <t>SysGears 09.2025</t>
  </si>
  <si>
    <t>SysGears 10.2025</t>
  </si>
  <si>
    <t>SysGears 11.2025</t>
  </si>
  <si>
    <t>strategie session</t>
  </si>
  <si>
    <t>0/01/2026</t>
  </si>
  <si>
    <t>Offenlegung JA 2023</t>
  </si>
  <si>
    <t>RST 2025 JA</t>
  </si>
  <si>
    <t>Offenlegung JA 2023 Kd. 100979814</t>
  </si>
  <si>
    <t>Umlage andagon Holding Buchführung</t>
  </si>
  <si>
    <t>Umlage andagon Holding sonstige</t>
  </si>
  <si>
    <t>TEAMBUILDING.COM</t>
  </si>
  <si>
    <t>1055-8985</t>
  </si>
  <si>
    <t>INV-50563</t>
  </si>
  <si>
    <t>Lieferando.de lieferse</t>
  </si>
  <si>
    <t>MV4B6H</t>
  </si>
  <si>
    <t>DeuBa</t>
  </si>
  <si>
    <t>DeuBA</t>
  </si>
  <si>
    <t>Auslandsüberweisung</t>
  </si>
  <si>
    <t>stripe</t>
  </si>
  <si>
    <t>Voyagecare - License 02.2025-01.2026 Diff Ausgleich</t>
  </si>
  <si>
    <t>Uni</t>
  </si>
  <si>
    <t>SSK</t>
  </si>
  <si>
    <t>KK Gebühren a4b</t>
  </si>
  <si>
    <t>ComBA</t>
  </si>
  <si>
    <t>Auslansüberweisung</t>
  </si>
  <si>
    <t>Vetkov Rücküberweisung</t>
  </si>
  <si>
    <t>ComBa</t>
  </si>
  <si>
    <t>Deel</t>
  </si>
  <si>
    <t>UniCredit</t>
  </si>
  <si>
    <t>deel</t>
  </si>
  <si>
    <t>HELENS SCHOOL</t>
  </si>
  <si>
    <t>Stripe</t>
  </si>
  <si>
    <t>ELECTRICAL SAFETY</t>
  </si>
  <si>
    <t>D3 - Rent 01.2025-12.2025 Korrektur</t>
  </si>
  <si>
    <t>PSD Bank - SaaS 08.2025-05.2026</t>
  </si>
  <si>
    <t>Media Tradecraft - TM 07.2025-06.2026</t>
  </si>
  <si>
    <t>Ore &amp; Metal - Suite 08.2025-07.2026</t>
  </si>
  <si>
    <t>Tech Mahindra</t>
  </si>
  <si>
    <t>Auslandsüberwesisubg</t>
  </si>
  <si>
    <t>Easystaff</t>
  </si>
  <si>
    <t>Mastercard - KK Gebühr S. Gogoll 11.2025</t>
  </si>
  <si>
    <t>Mastercard - KK Gebühr Y. Gogoll 11.2025</t>
  </si>
  <si>
    <t>Deuba</t>
  </si>
  <si>
    <t>KK</t>
  </si>
  <si>
    <t>ESA - License 04.2025-03.2026</t>
  </si>
  <si>
    <t>moss 09.2025</t>
  </si>
  <si>
    <t>Heidolph SaaS 11.2024-10.2025</t>
  </si>
  <si>
    <t>Ausb. DIff 2024 JT Butik</t>
  </si>
  <si>
    <t>Korrektur Umsatz aqua M-Net</t>
  </si>
  <si>
    <t>ARAL Kaution</t>
  </si>
  <si>
    <t>Kanzlei-Rechnungswesen - RW - 358875/10530/2025 / aqua cloud GmbH - [BWA-Nr. 1 - Wertenachweis Kurzfristige Erfolgsrechnung Dezember 2025]</t>
  </si>
  <si>
    <t>Zeile</t>
  </si>
  <si>
    <t>Bezeichnung</t>
  </si>
  <si>
    <t>Konto</t>
  </si>
  <si>
    <t/>
  </si>
  <si>
    <t>Konten-/
Zeilenbeschriftung</t>
  </si>
  <si>
    <t>Dez/2025
_x000D_Konten/Zeilen</t>
  </si>
  <si>
    <t>BWA-Werte</t>
  </si>
  <si>
    <t>Jan/2025-Dez/2025
_x000D_Konten/Zeilen</t>
  </si>
  <si>
    <t>Fkt.-Schl.</t>
  </si>
  <si>
    <t xml:space="preserve"> Umsatzerlöse</t>
  </si>
  <si>
    <t>H</t>
  </si>
  <si>
    <t>Erlöse aus Leistungen nach § 13b UStG</t>
  </si>
  <si>
    <t>Nicht steuerbare Umsätze Drittland</t>
  </si>
  <si>
    <t>Erlöse aqua Miete/SaaS</t>
  </si>
  <si>
    <t>Erlöse 19% USt aqua Kauf</t>
  </si>
  <si>
    <t>Erlöse aqua sonstige</t>
  </si>
  <si>
    <t>Erlöse aqua  M&amp;S</t>
  </si>
  <si>
    <t>Erlöse Fremdlizenzen</t>
  </si>
  <si>
    <t>Gesamtleistung</t>
  </si>
  <si>
    <t xml:space="preserve"> Mat./Wareneinkauf</t>
  </si>
  <si>
    <t>S</t>
  </si>
  <si>
    <t>Fremdleistungen</t>
  </si>
  <si>
    <t>Fremdleistund AI</t>
  </si>
  <si>
    <t>Sonstige Leistungen EU 19% Vorst./USt</t>
  </si>
  <si>
    <t>Rohertrag</t>
  </si>
  <si>
    <t xml:space="preserve"> So. betr. Erlöse</t>
  </si>
  <si>
    <t>Sonstige betriebliche Erträge</t>
  </si>
  <si>
    <t>Erträge aus der Währungsumrechnung</t>
  </si>
  <si>
    <t>Verrechnete sonstige Sachbezüge</t>
  </si>
  <si>
    <t>Verrech. sonstige Sachbezüge Fzg 19% USt</t>
  </si>
  <si>
    <t>Betriebl. Rohertrag</t>
  </si>
  <si>
    <t xml:space="preserve"> Personalkosten</t>
  </si>
  <si>
    <t>Pauschale Steuer für Arbeitnehmer</t>
  </si>
  <si>
    <t>Freiwillige soziale Aufwendung. LSt-pfl.</t>
  </si>
  <si>
    <t>Sachzuwendungen und Dienstleistg. an AN</t>
  </si>
  <si>
    <t>Fahrtkostenerstatt. Whg./Arbeitsstätte</t>
  </si>
  <si>
    <t>Gesetzliche Sozialaufwendungen</t>
  </si>
  <si>
    <t>Beiträge zur Berufsgenossenschaft</t>
  </si>
  <si>
    <t>Freiwillige soziale Aufwendung. LSt-frei</t>
  </si>
  <si>
    <t>Aufwendungen für Altersversorgung</t>
  </si>
  <si>
    <t xml:space="preserve"> Versich./Beiträge</t>
  </si>
  <si>
    <t>Versicherungen</t>
  </si>
  <si>
    <t>Beiträge</t>
  </si>
  <si>
    <t>HR other</t>
  </si>
  <si>
    <t>Beiträge, Lizenzen (Marketing)</t>
  </si>
  <si>
    <t>Lizenzgebühren</t>
  </si>
  <si>
    <t xml:space="preserve"> Fahrzeugko. (o. St)</t>
  </si>
  <si>
    <t>Laufende Fahrzeug-Betriebskosten</t>
  </si>
  <si>
    <t xml:space="preserve"> Werbe-/Reisekosten</t>
  </si>
  <si>
    <t>Marketing content</t>
  </si>
  <si>
    <t>google</t>
  </si>
  <si>
    <t>Messekosten</t>
  </si>
  <si>
    <t>Geschenke abzugsfähig ohne § 37b EStG</t>
  </si>
  <si>
    <t>Geschenke n. abzugsfähig mit § 37b EStG</t>
  </si>
  <si>
    <t>Bewirtungskosten</t>
  </si>
  <si>
    <t>Aufmerksamkeiten</t>
  </si>
  <si>
    <t>Nicht abzugsfähige Bewirtungskosten</t>
  </si>
  <si>
    <t>Nicht abzugsfähige Betriebsausgaben</t>
  </si>
  <si>
    <t>Reisekosten Arbeitnehmer</t>
  </si>
  <si>
    <t>Mietwagen</t>
  </si>
  <si>
    <t>Reisekosten AN Übernachtungsaufwand</t>
  </si>
  <si>
    <t>Sonstige Reisekosten</t>
  </si>
  <si>
    <t>Reisekosten Arbeitnehmer, Fahrtkosten</t>
  </si>
  <si>
    <t>Reisekosten AN Verpfleg.mehraufwand</t>
  </si>
  <si>
    <t xml:space="preserve"> Kosten Warenabgabe</t>
  </si>
  <si>
    <t>Fremdarbeiten (Vertrieb)</t>
  </si>
  <si>
    <t>Fremdarbeiten (Marketing)</t>
  </si>
  <si>
    <t>Fremdarbeit</t>
  </si>
  <si>
    <t xml:space="preserve"> Abschreibungen</t>
  </si>
  <si>
    <t>Abschreibung selbst geschaffene imm. VG</t>
  </si>
  <si>
    <t>Abschreibungen auf Sachanlagen</t>
  </si>
  <si>
    <t>Forderungsverluste</t>
  </si>
  <si>
    <t>Forderungsverluste 19% USt</t>
  </si>
  <si>
    <t xml:space="preserve"> Sonstige Kosten</t>
  </si>
  <si>
    <t>Fremdleistungen und Fremdarbeiten</t>
  </si>
  <si>
    <t>Porto</t>
  </si>
  <si>
    <t>Telefon</t>
  </si>
  <si>
    <t>Hosting</t>
  </si>
  <si>
    <t>Bürobedarf</t>
  </si>
  <si>
    <t>Fortbildungskosten</t>
  </si>
  <si>
    <t>Rechts- und Beratungskosten</t>
  </si>
  <si>
    <t>Beratungskosten</t>
  </si>
  <si>
    <t>Abschluss- und Prüfungskosten</t>
  </si>
  <si>
    <t>Buchführungskosten</t>
  </si>
  <si>
    <t>Sonstiger Betriebsbedarf</t>
  </si>
  <si>
    <t>Teambuilding</t>
  </si>
  <si>
    <t>Nebenkosten des Geldverkehrs</t>
  </si>
  <si>
    <t>Aufwendungen aus Währungsumrechnungen</t>
  </si>
  <si>
    <t>Gesamtkosten</t>
  </si>
  <si>
    <t>Betriebsergebnis</t>
  </si>
  <si>
    <t xml:space="preserve">  Sonst. neutr. Aufw</t>
  </si>
  <si>
    <t>Sonstige Aufwendungen unregelmäßig</t>
  </si>
  <si>
    <t xml:space="preserve"> Neutraler Aufwand</t>
  </si>
  <si>
    <t xml:space="preserve">  Zinserträge</t>
  </si>
  <si>
    <t>Sonstige Zinsen und ähnliche Erträge</t>
  </si>
  <si>
    <t xml:space="preserve">  Sonst. neutr. Ertr</t>
  </si>
  <si>
    <t>Erträge Auflösung von Rückstellungen</t>
  </si>
  <si>
    <t>Erstattungen AufwendungsausgleichsG</t>
  </si>
  <si>
    <t xml:space="preserve"> Neutraler Ertrag</t>
  </si>
  <si>
    <t>Ergebnis vor Steuern</t>
  </si>
  <si>
    <t>Vorläufiges Ergebnis</t>
  </si>
  <si>
    <t xml:space="preserve"> Steuern Eink.u.Ertr</t>
  </si>
  <si>
    <t>Kostenstelle/-träger</t>
  </si>
  <si>
    <t>Kurzbezeichnung</t>
  </si>
  <si>
    <t>Langbezeichnung</t>
  </si>
  <si>
    <t>Verantwortlicher</t>
  </si>
  <si>
    <t>aqua</t>
  </si>
  <si>
    <t>Gemeinkosten aqua cloud</t>
  </si>
  <si>
    <t>indirekte</t>
  </si>
  <si>
    <t>inderekte Kosten</t>
  </si>
  <si>
    <t>Recruiting</t>
  </si>
  <si>
    <t>Dev</t>
  </si>
  <si>
    <t>Development</t>
  </si>
  <si>
    <t>Product</t>
  </si>
  <si>
    <t>Sales</t>
  </si>
  <si>
    <t>Marketing</t>
  </si>
  <si>
    <t>Koch Martin</t>
  </si>
  <si>
    <t>Mann</t>
  </si>
  <si>
    <t>Elsner</t>
  </si>
  <si>
    <t>Elsner Paul</t>
  </si>
  <si>
    <t>Weingartz</t>
  </si>
  <si>
    <t>Weingartz Robert</t>
  </si>
  <si>
    <t>Buzik</t>
  </si>
  <si>
    <t>Buzik Anton</t>
  </si>
  <si>
    <t>McDade</t>
  </si>
  <si>
    <t>McDade Grand</t>
  </si>
  <si>
    <t>Hartmann</t>
  </si>
  <si>
    <t>Hartmann Dirk</t>
  </si>
  <si>
    <t>Ali Lara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</si>
</sst>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####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4B4B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2" borderId="0" xfId="0" applyNumberFormat="1" applyFill="1" applyAlignment="1">
      <alignment horizontal="center"/>
    </xf>
    <xf numFmtId="49" fontId="0" fillId="2" borderId="0" xfId="0" applyNumberFormat="1" applyFill="1" applyAlignment="1">
      <alignment horizontal="center" wrapText="1"/>
    </xf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4" fontId="0" fillId="0" borderId="0" xfId="0" applyNumberFormat="1"/>
    <xf numFmtId="14" fontId="0" fillId="0" borderId="0" xfId="0" applyNumberFormat="1"/>
    <xf numFmtId="11" fontId="0" fillId="0" borderId="0" xfId="0" applyNumberFormat="1"/>
    <xf numFmtId="0" fontId="0" fillId="3" borderId="0" xfId="0" applyFill="1"/>
    <xf numFmtId="0" fontId="0" fillId="4" borderId="0" xfId="0" applyFill="1"/>
    <xf numFmtId="49" fontId="1" fillId="0" borderId="0" xfId="0" applyNumberFormat="1" applyFont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DF521-10AA-4E63-B434-B37F87ADF254}">
  <dimension ref="A1:I2251"/>
  <sheetViews>
    <sheetView tabSelected="1" workbookViewId="0">
      <selection activeCell="G28" sqref="G28"/>
    </sheetView>
  </sheetViews>
  <sheetFormatPr baseColWidth="10" defaultColWidth="11.5" defaultRowHeight="15" x14ac:dyDescent="0.2"/>
  <cols>
    <col min="3" max="3" width="58" bestFit="1" customWidth="1"/>
    <col min="4" max="4" width="22" customWidth="1"/>
    <col min="5" max="5" width="11" customWidth="1"/>
    <col min="7" max="7" width="12.83203125" bestFit="1" customWidth="1"/>
    <col min="8" max="8" width="15" bestFit="1" customWidth="1"/>
  </cols>
  <sheetData>
    <row r="1" spans="1:9" x14ac:dyDescent="0.2">
      <c r="A1" t="s">
        <v>0</v>
      </c>
    </row>
    <row r="3" spans="1:9" x14ac:dyDescent="0.2">
      <c r="A3" s="9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s="10" t="s">
        <v>7</v>
      </c>
      <c r="H3" t="s">
        <v>8</v>
      </c>
      <c r="I3" s="10" t="s">
        <v>9</v>
      </c>
    </row>
    <row r="4" spans="1:9" x14ac:dyDescent="0.2">
      <c r="A4">
        <v>5900</v>
      </c>
      <c r="B4" s="7">
        <v>45672</v>
      </c>
      <c r="C4" t="s">
        <v>10</v>
      </c>
      <c r="D4">
        <v>20240115004</v>
      </c>
      <c r="E4" s="6">
        <v>1931.99</v>
      </c>
      <c r="G4">
        <v>201</v>
      </c>
      <c r="I4" t="str">
        <f>VLOOKUP(G4,Kostenstellen!$A$1:$C$17,2,0)</f>
        <v>indirekte</v>
      </c>
    </row>
    <row r="5" spans="1:9" x14ac:dyDescent="0.2">
      <c r="A5">
        <v>5900</v>
      </c>
      <c r="B5" s="7">
        <v>45689</v>
      </c>
      <c r="C5" t="s">
        <v>11</v>
      </c>
      <c r="D5" t="s">
        <v>12</v>
      </c>
      <c r="E5">
        <v>79.5</v>
      </c>
      <c r="G5">
        <v>210</v>
      </c>
      <c r="H5" s="7">
        <v>45688</v>
      </c>
      <c r="I5" t="str">
        <f>VLOOKUP(G5,Kostenstellen!$A$1:$C$17,2,0)</f>
        <v>Dev</v>
      </c>
    </row>
    <row r="6" spans="1:9" x14ac:dyDescent="0.2">
      <c r="A6">
        <v>5900</v>
      </c>
      <c r="B6" s="7">
        <v>45689</v>
      </c>
      <c r="C6" t="s">
        <v>13</v>
      </c>
      <c r="D6" t="s">
        <v>14</v>
      </c>
      <c r="E6" s="6">
        <v>2740</v>
      </c>
      <c r="G6">
        <v>210</v>
      </c>
      <c r="H6" s="7">
        <v>45688</v>
      </c>
      <c r="I6" t="str">
        <f>VLOOKUP(G6,Kostenstellen!$A$1:$C$17,2,0)</f>
        <v>Dev</v>
      </c>
    </row>
    <row r="7" spans="1:9" x14ac:dyDescent="0.2">
      <c r="A7">
        <v>5900</v>
      </c>
      <c r="B7" s="7">
        <v>45689</v>
      </c>
      <c r="C7" t="s">
        <v>15</v>
      </c>
      <c r="D7" t="s">
        <v>16</v>
      </c>
      <c r="E7" s="6">
        <v>6300</v>
      </c>
      <c r="G7">
        <v>210</v>
      </c>
      <c r="H7" s="7">
        <v>45688</v>
      </c>
      <c r="I7" t="str">
        <f>VLOOKUP(G7,Kostenstellen!$A$1:$C$17,2,0)</f>
        <v>Dev</v>
      </c>
    </row>
    <row r="8" spans="1:9" x14ac:dyDescent="0.2">
      <c r="A8">
        <v>5900</v>
      </c>
      <c r="B8" s="7">
        <v>45689</v>
      </c>
      <c r="C8" t="s">
        <v>17</v>
      </c>
      <c r="D8" t="s">
        <v>18</v>
      </c>
      <c r="E8" s="6">
        <v>5000</v>
      </c>
      <c r="G8">
        <v>210</v>
      </c>
      <c r="H8" s="7">
        <v>45688</v>
      </c>
      <c r="I8" t="str">
        <f>VLOOKUP(G8,Kostenstellen!$A$1:$C$17,2,0)</f>
        <v>Dev</v>
      </c>
    </row>
    <row r="9" spans="1:9" x14ac:dyDescent="0.2">
      <c r="A9">
        <v>5900</v>
      </c>
      <c r="B9" s="7">
        <v>45689</v>
      </c>
      <c r="C9" t="s">
        <v>19</v>
      </c>
      <c r="D9" t="s">
        <v>20</v>
      </c>
      <c r="E9" s="6">
        <v>3200</v>
      </c>
      <c r="G9">
        <v>210</v>
      </c>
      <c r="H9" s="7">
        <v>45688</v>
      </c>
      <c r="I9" t="str">
        <f>VLOOKUP(G9,Kostenstellen!$A$1:$C$17,2,0)</f>
        <v>Dev</v>
      </c>
    </row>
    <row r="10" spans="1:9" x14ac:dyDescent="0.2">
      <c r="A10">
        <v>5900</v>
      </c>
      <c r="B10" s="7">
        <v>45689</v>
      </c>
      <c r="C10" t="s">
        <v>21</v>
      </c>
      <c r="D10" t="s">
        <v>22</v>
      </c>
      <c r="E10" s="6">
        <v>2175</v>
      </c>
      <c r="G10">
        <v>210</v>
      </c>
      <c r="H10" s="7">
        <v>45688</v>
      </c>
      <c r="I10" t="str">
        <f>VLOOKUP(G10,Kostenstellen!$A$1:$C$17,2,0)</f>
        <v>Dev</v>
      </c>
    </row>
    <row r="11" spans="1:9" x14ac:dyDescent="0.2">
      <c r="A11">
        <v>5900</v>
      </c>
      <c r="B11" s="7">
        <v>45689</v>
      </c>
      <c r="C11" t="s">
        <v>23</v>
      </c>
      <c r="D11" t="s">
        <v>24</v>
      </c>
      <c r="E11" s="6">
        <v>4500</v>
      </c>
      <c r="G11">
        <v>210</v>
      </c>
      <c r="H11" s="7">
        <v>45688</v>
      </c>
      <c r="I11" t="str">
        <f>VLOOKUP(G11,Kostenstellen!$A$1:$C$17,2,0)</f>
        <v>Dev</v>
      </c>
    </row>
    <row r="12" spans="1:9" x14ac:dyDescent="0.2">
      <c r="A12">
        <v>5900</v>
      </c>
      <c r="B12" s="7">
        <v>45689</v>
      </c>
      <c r="C12" t="s">
        <v>25</v>
      </c>
      <c r="D12" t="s">
        <v>26</v>
      </c>
      <c r="E12" s="6">
        <v>1200</v>
      </c>
      <c r="G12">
        <v>210</v>
      </c>
      <c r="H12" s="7">
        <v>45688</v>
      </c>
      <c r="I12" t="str">
        <f>VLOOKUP(G12,Kostenstellen!$A$1:$C$17,2,0)</f>
        <v>Dev</v>
      </c>
    </row>
    <row r="13" spans="1:9" x14ac:dyDescent="0.2">
      <c r="A13">
        <v>5900</v>
      </c>
      <c r="B13" s="7">
        <v>45689</v>
      </c>
      <c r="C13" t="s">
        <v>27</v>
      </c>
      <c r="D13" t="s">
        <v>28</v>
      </c>
      <c r="E13" s="6">
        <v>3772</v>
      </c>
      <c r="G13">
        <v>210</v>
      </c>
      <c r="H13" s="7">
        <v>45688</v>
      </c>
      <c r="I13" t="str">
        <f>VLOOKUP(G13,Kostenstellen!$A$1:$C$17,2,0)</f>
        <v>Dev</v>
      </c>
    </row>
    <row r="14" spans="1:9" x14ac:dyDescent="0.2">
      <c r="A14">
        <v>5900</v>
      </c>
      <c r="B14" s="7">
        <v>45689</v>
      </c>
      <c r="C14" t="s">
        <v>29</v>
      </c>
      <c r="D14" t="s">
        <v>30</v>
      </c>
      <c r="E14" s="6">
        <v>4232</v>
      </c>
      <c r="G14">
        <v>210</v>
      </c>
      <c r="H14" s="7">
        <v>45688</v>
      </c>
      <c r="I14" t="str">
        <f>VLOOKUP(G14,Kostenstellen!$A$1:$C$17,2,0)</f>
        <v>Dev</v>
      </c>
    </row>
    <row r="15" spans="1:9" x14ac:dyDescent="0.2">
      <c r="A15">
        <v>5900</v>
      </c>
      <c r="B15" s="7">
        <v>45689</v>
      </c>
      <c r="C15" t="s">
        <v>31</v>
      </c>
      <c r="D15" t="s">
        <v>32</v>
      </c>
      <c r="E15" s="6">
        <v>2800</v>
      </c>
      <c r="G15">
        <v>210</v>
      </c>
      <c r="H15" s="7">
        <v>45688</v>
      </c>
      <c r="I15" t="str">
        <f>VLOOKUP(G15,Kostenstellen!$A$1:$C$17,2,0)</f>
        <v>Dev</v>
      </c>
    </row>
    <row r="16" spans="1:9" x14ac:dyDescent="0.2">
      <c r="A16">
        <v>5900</v>
      </c>
      <c r="B16" s="7">
        <v>45689</v>
      </c>
      <c r="C16" t="s">
        <v>33</v>
      </c>
      <c r="D16" t="s">
        <v>34</v>
      </c>
      <c r="E16" s="6">
        <v>1700</v>
      </c>
      <c r="G16">
        <v>210</v>
      </c>
      <c r="H16" s="7">
        <v>45688</v>
      </c>
      <c r="I16" t="str">
        <f>VLOOKUP(G16,Kostenstellen!$A$1:$C$17,2,0)</f>
        <v>Dev</v>
      </c>
    </row>
    <row r="17" spans="1:9" x14ac:dyDescent="0.2">
      <c r="A17">
        <v>5900</v>
      </c>
      <c r="B17" s="7">
        <v>45689</v>
      </c>
      <c r="C17" t="s">
        <v>35</v>
      </c>
      <c r="D17" t="s">
        <v>36</v>
      </c>
      <c r="E17">
        <v>450</v>
      </c>
      <c r="G17">
        <v>210</v>
      </c>
      <c r="H17" s="7">
        <v>45688</v>
      </c>
      <c r="I17" t="str">
        <f>VLOOKUP(G17,Kostenstellen!$A$1:$C$17,2,0)</f>
        <v>Dev</v>
      </c>
    </row>
    <row r="18" spans="1:9" x14ac:dyDescent="0.2">
      <c r="A18">
        <v>5900</v>
      </c>
      <c r="B18" s="7">
        <v>45689</v>
      </c>
      <c r="C18" t="s">
        <v>37</v>
      </c>
      <c r="D18" t="s">
        <v>38</v>
      </c>
      <c r="E18" s="6">
        <v>2800</v>
      </c>
      <c r="G18">
        <v>210</v>
      </c>
      <c r="H18" s="7">
        <v>45688</v>
      </c>
      <c r="I18" t="str">
        <f>VLOOKUP(G18,Kostenstellen!$A$1:$C$17,2,0)</f>
        <v>Dev</v>
      </c>
    </row>
    <row r="19" spans="1:9" x14ac:dyDescent="0.2">
      <c r="A19">
        <v>5900</v>
      </c>
      <c r="B19" s="7">
        <v>45691</v>
      </c>
      <c r="C19" t="s">
        <v>39</v>
      </c>
      <c r="D19" t="s">
        <v>40</v>
      </c>
      <c r="E19" s="6">
        <v>2454.54</v>
      </c>
      <c r="G19">
        <v>220</v>
      </c>
      <c r="H19" s="7">
        <v>45688</v>
      </c>
      <c r="I19" t="str">
        <f>VLOOKUP(G19,Kostenstellen!$A$1:$C$17,2,0)</f>
        <v>Product</v>
      </c>
    </row>
    <row r="20" spans="1:9" x14ac:dyDescent="0.2">
      <c r="A20">
        <v>5900</v>
      </c>
      <c r="B20" s="7">
        <v>45692</v>
      </c>
      <c r="C20" t="s">
        <v>41</v>
      </c>
      <c r="D20">
        <v>20252000041</v>
      </c>
      <c r="E20" s="6">
        <v>3198</v>
      </c>
      <c r="G20">
        <v>200</v>
      </c>
      <c r="I20" t="str">
        <f>VLOOKUP(G20,Kostenstellen!$A$1:$C$17,2,0)</f>
        <v>aqua</v>
      </c>
    </row>
    <row r="21" spans="1:9" x14ac:dyDescent="0.2">
      <c r="A21">
        <v>5900</v>
      </c>
      <c r="B21" s="7">
        <v>45703</v>
      </c>
      <c r="C21" t="s">
        <v>42</v>
      </c>
      <c r="D21">
        <v>20250215005</v>
      </c>
      <c r="E21" s="6">
        <v>1925.48</v>
      </c>
      <c r="G21">
        <v>201</v>
      </c>
      <c r="I21" t="str">
        <f>VLOOKUP(G21,Kostenstellen!$A$1:$C$17,2,0)</f>
        <v>indirekte</v>
      </c>
    </row>
    <row r="22" spans="1:9" x14ac:dyDescent="0.2">
      <c r="A22">
        <v>5900</v>
      </c>
      <c r="B22" s="7">
        <v>45717</v>
      </c>
      <c r="C22" t="s">
        <v>43</v>
      </c>
      <c r="D22" t="s">
        <v>44</v>
      </c>
      <c r="E22" s="6">
        <v>2740</v>
      </c>
      <c r="G22">
        <v>210</v>
      </c>
      <c r="H22" s="7">
        <v>45689</v>
      </c>
      <c r="I22" t="str">
        <f>VLOOKUP(G22,Kostenstellen!$A$1:$C$17,2,0)</f>
        <v>Dev</v>
      </c>
    </row>
    <row r="23" spans="1:9" x14ac:dyDescent="0.2">
      <c r="A23">
        <v>5900</v>
      </c>
      <c r="B23" s="7">
        <v>45717</v>
      </c>
      <c r="C23" t="s">
        <v>45</v>
      </c>
      <c r="D23" t="s">
        <v>46</v>
      </c>
      <c r="E23" s="6">
        <v>2700</v>
      </c>
      <c r="G23">
        <v>220</v>
      </c>
      <c r="H23" s="7">
        <v>45689</v>
      </c>
      <c r="I23" t="str">
        <f>VLOOKUP(G23,Kostenstellen!$A$1:$C$17,2,0)</f>
        <v>Product</v>
      </c>
    </row>
    <row r="24" spans="1:9" x14ac:dyDescent="0.2">
      <c r="A24">
        <v>5900</v>
      </c>
      <c r="B24" s="7">
        <v>45717</v>
      </c>
      <c r="C24" t="s">
        <v>47</v>
      </c>
      <c r="D24" t="s">
        <v>48</v>
      </c>
      <c r="E24" s="6">
        <v>6300</v>
      </c>
      <c r="G24">
        <v>210</v>
      </c>
      <c r="H24" s="7">
        <v>45689</v>
      </c>
      <c r="I24" t="str">
        <f>VLOOKUP(G24,Kostenstellen!$A$1:$C$17,2,0)</f>
        <v>Dev</v>
      </c>
    </row>
    <row r="25" spans="1:9" x14ac:dyDescent="0.2">
      <c r="A25">
        <v>5900</v>
      </c>
      <c r="B25" s="7">
        <v>45717</v>
      </c>
      <c r="C25" t="s">
        <v>49</v>
      </c>
      <c r="D25" t="s">
        <v>50</v>
      </c>
      <c r="E25" s="6">
        <v>5000</v>
      </c>
      <c r="G25">
        <v>210</v>
      </c>
      <c r="H25" s="7">
        <v>45716</v>
      </c>
      <c r="I25" t="str">
        <f>VLOOKUP(G25,Kostenstellen!$A$1:$C$17,2,0)</f>
        <v>Dev</v>
      </c>
    </row>
    <row r="26" spans="1:9" x14ac:dyDescent="0.2">
      <c r="A26">
        <v>5900</v>
      </c>
      <c r="B26" s="7">
        <v>45717</v>
      </c>
      <c r="C26" t="s">
        <v>51</v>
      </c>
      <c r="D26" t="s">
        <v>52</v>
      </c>
      <c r="E26" s="6">
        <v>3200</v>
      </c>
      <c r="G26">
        <v>210</v>
      </c>
      <c r="H26" s="7">
        <v>45689</v>
      </c>
      <c r="I26" t="str">
        <f>VLOOKUP(G26,Kostenstellen!$A$1:$C$17,2,0)</f>
        <v>Dev</v>
      </c>
    </row>
    <row r="27" spans="1:9" x14ac:dyDescent="0.2">
      <c r="A27">
        <v>5900</v>
      </c>
      <c r="B27" s="7">
        <v>45717</v>
      </c>
      <c r="C27" t="s">
        <v>53</v>
      </c>
      <c r="D27" t="s">
        <v>54</v>
      </c>
      <c r="E27" s="6">
        <v>2900</v>
      </c>
      <c r="G27">
        <v>210</v>
      </c>
      <c r="H27" s="7">
        <v>45689</v>
      </c>
      <c r="I27" t="str">
        <f>VLOOKUP(G27,Kostenstellen!$A$1:$C$17,2,0)</f>
        <v>Dev</v>
      </c>
    </row>
    <row r="28" spans="1:9" x14ac:dyDescent="0.2">
      <c r="A28">
        <v>5900</v>
      </c>
      <c r="B28" s="7">
        <v>45717</v>
      </c>
      <c r="C28" t="s">
        <v>55</v>
      </c>
      <c r="D28" t="s">
        <v>56</v>
      </c>
      <c r="E28" s="6">
        <v>4500</v>
      </c>
      <c r="G28">
        <v>210</v>
      </c>
      <c r="H28" s="7">
        <v>45716</v>
      </c>
      <c r="I28" t="str">
        <f>VLOOKUP(G28,Kostenstellen!$A$1:$C$17,2,0)</f>
        <v>Dev</v>
      </c>
    </row>
    <row r="29" spans="1:9" x14ac:dyDescent="0.2">
      <c r="A29">
        <v>5900</v>
      </c>
      <c r="B29" s="7">
        <v>45717</v>
      </c>
      <c r="C29" t="s">
        <v>57</v>
      </c>
      <c r="D29" t="s">
        <v>58</v>
      </c>
      <c r="E29" s="6">
        <v>1200</v>
      </c>
      <c r="G29">
        <v>210</v>
      </c>
      <c r="H29" s="7">
        <v>45716</v>
      </c>
      <c r="I29" t="str">
        <f>VLOOKUP(G29,Kostenstellen!$A$1:$C$17,2,0)</f>
        <v>Dev</v>
      </c>
    </row>
    <row r="30" spans="1:9" x14ac:dyDescent="0.2">
      <c r="A30">
        <v>5900</v>
      </c>
      <c r="B30" s="7">
        <v>45717</v>
      </c>
      <c r="C30" t="s">
        <v>59</v>
      </c>
      <c r="D30" t="s">
        <v>60</v>
      </c>
      <c r="E30" s="6">
        <v>3280</v>
      </c>
      <c r="G30">
        <v>210</v>
      </c>
      <c r="H30" s="7">
        <v>45716</v>
      </c>
      <c r="I30" t="str">
        <f>VLOOKUP(G30,Kostenstellen!$A$1:$C$17,2,0)</f>
        <v>Dev</v>
      </c>
    </row>
    <row r="31" spans="1:9" x14ac:dyDescent="0.2">
      <c r="A31">
        <v>5900</v>
      </c>
      <c r="B31" s="7">
        <v>45717</v>
      </c>
      <c r="C31" t="s">
        <v>61</v>
      </c>
      <c r="D31" t="s">
        <v>62</v>
      </c>
      <c r="E31" s="6">
        <v>3680</v>
      </c>
      <c r="G31">
        <v>210</v>
      </c>
      <c r="H31" s="7">
        <v>45716</v>
      </c>
      <c r="I31" t="str">
        <f>VLOOKUP(G31,Kostenstellen!$A$1:$C$17,2,0)</f>
        <v>Dev</v>
      </c>
    </row>
    <row r="32" spans="1:9" x14ac:dyDescent="0.2">
      <c r="A32">
        <v>5900</v>
      </c>
      <c r="B32" s="7">
        <v>45717</v>
      </c>
      <c r="C32" t="s">
        <v>63</v>
      </c>
      <c r="D32" t="s">
        <v>64</v>
      </c>
      <c r="E32" s="6">
        <v>2800</v>
      </c>
      <c r="G32">
        <v>210</v>
      </c>
      <c r="H32" s="7">
        <v>45689</v>
      </c>
      <c r="I32" t="str">
        <f>VLOOKUP(G32,Kostenstellen!$A$1:$C$17,2,0)</f>
        <v>Dev</v>
      </c>
    </row>
    <row r="33" spans="1:9" x14ac:dyDescent="0.2">
      <c r="A33">
        <v>5900</v>
      </c>
      <c r="B33" s="7">
        <v>45717</v>
      </c>
      <c r="C33" t="s">
        <v>65</v>
      </c>
      <c r="D33" t="s">
        <v>66</v>
      </c>
      <c r="E33" s="6">
        <v>1749.7</v>
      </c>
      <c r="G33">
        <v>210</v>
      </c>
      <c r="H33" s="7">
        <v>45689</v>
      </c>
      <c r="I33" t="str">
        <f>VLOOKUP(G33,Kostenstellen!$A$1:$C$17,2,0)</f>
        <v>Dev</v>
      </c>
    </row>
    <row r="34" spans="1:9" x14ac:dyDescent="0.2">
      <c r="A34">
        <v>5900</v>
      </c>
      <c r="B34" s="7">
        <v>45717</v>
      </c>
      <c r="C34" t="s">
        <v>67</v>
      </c>
      <c r="D34" t="s">
        <v>68</v>
      </c>
      <c r="E34">
        <v>450</v>
      </c>
      <c r="G34">
        <v>210</v>
      </c>
      <c r="H34" s="7">
        <v>45689</v>
      </c>
      <c r="I34" t="str">
        <f>VLOOKUP(G34,Kostenstellen!$A$1:$C$17,2,0)</f>
        <v>Dev</v>
      </c>
    </row>
    <row r="35" spans="1:9" x14ac:dyDescent="0.2">
      <c r="A35">
        <v>5900</v>
      </c>
      <c r="B35" s="7">
        <v>45717</v>
      </c>
      <c r="C35" t="s">
        <v>69</v>
      </c>
      <c r="D35" t="s">
        <v>70</v>
      </c>
      <c r="E35" s="6">
        <v>2800</v>
      </c>
      <c r="G35">
        <v>210</v>
      </c>
      <c r="H35" s="7">
        <v>45689</v>
      </c>
      <c r="I35" t="str">
        <f>VLOOKUP(G35,Kostenstellen!$A$1:$C$17,2,0)</f>
        <v>Dev</v>
      </c>
    </row>
    <row r="36" spans="1:9" x14ac:dyDescent="0.2">
      <c r="A36">
        <v>5900</v>
      </c>
      <c r="B36" s="7">
        <v>45730</v>
      </c>
      <c r="C36" t="s">
        <v>71</v>
      </c>
      <c r="D36">
        <v>20252000107</v>
      </c>
      <c r="E36" s="6">
        <v>1599</v>
      </c>
      <c r="G36">
        <v>200</v>
      </c>
      <c r="I36" t="str">
        <f>VLOOKUP(G36,Kostenstellen!$A$1:$C$17,2,0)</f>
        <v>aqua</v>
      </c>
    </row>
    <row r="37" spans="1:9" x14ac:dyDescent="0.2">
      <c r="A37">
        <v>5900</v>
      </c>
      <c r="B37" s="7">
        <v>45730</v>
      </c>
      <c r="C37" t="s">
        <v>71</v>
      </c>
      <c r="D37">
        <v>20252000108</v>
      </c>
      <c r="E37" s="6">
        <v>1599</v>
      </c>
      <c r="G37">
        <v>200</v>
      </c>
      <c r="I37" t="str">
        <f>VLOOKUP(G37,Kostenstellen!$A$1:$C$17,2,0)</f>
        <v>aqua</v>
      </c>
    </row>
    <row r="38" spans="1:9" x14ac:dyDescent="0.2">
      <c r="A38">
        <v>5900</v>
      </c>
      <c r="B38" s="7">
        <v>45731</v>
      </c>
      <c r="C38" t="s">
        <v>72</v>
      </c>
      <c r="D38">
        <v>20250315010</v>
      </c>
      <c r="E38" s="6">
        <v>1873.27</v>
      </c>
      <c r="G38">
        <v>201</v>
      </c>
      <c r="I38" t="str">
        <f>VLOOKUP(G38,Kostenstellen!$A$1:$C$17,2,0)</f>
        <v>indirekte</v>
      </c>
    </row>
    <row r="39" spans="1:9" x14ac:dyDescent="0.2">
      <c r="A39">
        <v>5900</v>
      </c>
      <c r="B39" s="7">
        <v>45748</v>
      </c>
      <c r="C39" t="s">
        <v>73</v>
      </c>
      <c r="D39" t="s">
        <v>74</v>
      </c>
      <c r="E39" s="6">
        <v>1724</v>
      </c>
      <c r="G39">
        <v>210</v>
      </c>
      <c r="H39" s="7">
        <v>45717</v>
      </c>
      <c r="I39" t="str">
        <f>VLOOKUP(G39,Kostenstellen!$A$1:$C$17,2,0)</f>
        <v>Dev</v>
      </c>
    </row>
    <row r="40" spans="1:9" x14ac:dyDescent="0.2">
      <c r="A40">
        <v>5900</v>
      </c>
      <c r="B40" s="7">
        <v>45748</v>
      </c>
      <c r="C40" t="s">
        <v>75</v>
      </c>
      <c r="D40" t="s">
        <v>76</v>
      </c>
      <c r="E40" s="6">
        <v>2700</v>
      </c>
      <c r="G40">
        <v>220</v>
      </c>
      <c r="H40" s="7">
        <v>45717</v>
      </c>
      <c r="I40" t="str">
        <f>VLOOKUP(G40,Kostenstellen!$A$1:$C$17,2,0)</f>
        <v>Product</v>
      </c>
    </row>
    <row r="41" spans="1:9" x14ac:dyDescent="0.2">
      <c r="A41">
        <v>5900</v>
      </c>
      <c r="B41" s="7">
        <v>45748</v>
      </c>
      <c r="C41" t="s">
        <v>77</v>
      </c>
      <c r="D41" t="s">
        <v>78</v>
      </c>
      <c r="E41" s="6">
        <v>6300</v>
      </c>
      <c r="G41">
        <v>210</v>
      </c>
      <c r="H41" s="7">
        <v>45717</v>
      </c>
      <c r="I41" t="str">
        <f>VLOOKUP(G41,Kostenstellen!$A$1:$C$17,2,0)</f>
        <v>Dev</v>
      </c>
    </row>
    <row r="42" spans="1:9" x14ac:dyDescent="0.2">
      <c r="A42">
        <v>5900</v>
      </c>
      <c r="B42" s="7">
        <v>45748</v>
      </c>
      <c r="C42" t="s">
        <v>79</v>
      </c>
      <c r="D42" t="s">
        <v>80</v>
      </c>
      <c r="E42" s="6">
        <v>5000</v>
      </c>
      <c r="G42">
        <v>210</v>
      </c>
      <c r="H42" s="7">
        <v>45717</v>
      </c>
      <c r="I42" t="str">
        <f>VLOOKUP(G42,Kostenstellen!$A$1:$C$17,2,0)</f>
        <v>Dev</v>
      </c>
    </row>
    <row r="43" spans="1:9" x14ac:dyDescent="0.2">
      <c r="A43">
        <v>5900</v>
      </c>
      <c r="B43" s="7">
        <v>45748</v>
      </c>
      <c r="C43" t="s">
        <v>81</v>
      </c>
      <c r="D43" t="s">
        <v>82</v>
      </c>
      <c r="E43" s="6">
        <v>3200</v>
      </c>
      <c r="G43">
        <v>210</v>
      </c>
      <c r="H43" s="7">
        <v>45717</v>
      </c>
      <c r="I43" t="str">
        <f>VLOOKUP(G43,Kostenstellen!$A$1:$C$17,2,0)</f>
        <v>Dev</v>
      </c>
    </row>
    <row r="44" spans="1:9" x14ac:dyDescent="0.2">
      <c r="A44">
        <v>5900</v>
      </c>
      <c r="B44" s="7">
        <v>45748</v>
      </c>
      <c r="C44" t="s">
        <v>83</v>
      </c>
      <c r="D44" t="s">
        <v>84</v>
      </c>
      <c r="E44" s="6">
        <v>2900</v>
      </c>
      <c r="G44">
        <v>210</v>
      </c>
      <c r="H44" s="7">
        <v>45717</v>
      </c>
      <c r="I44" t="str">
        <f>VLOOKUP(G44,Kostenstellen!$A$1:$C$17,2,0)</f>
        <v>Dev</v>
      </c>
    </row>
    <row r="45" spans="1:9" x14ac:dyDescent="0.2">
      <c r="A45">
        <v>5900</v>
      </c>
      <c r="B45" s="7">
        <v>45748</v>
      </c>
      <c r="C45" t="s">
        <v>85</v>
      </c>
      <c r="D45" t="s">
        <v>86</v>
      </c>
      <c r="E45" s="6">
        <v>4500</v>
      </c>
      <c r="G45">
        <v>210</v>
      </c>
      <c r="H45" s="7">
        <v>45717</v>
      </c>
      <c r="I45" t="str">
        <f>VLOOKUP(G45,Kostenstellen!$A$1:$C$17,2,0)</f>
        <v>Dev</v>
      </c>
    </row>
    <row r="46" spans="1:9" x14ac:dyDescent="0.2">
      <c r="A46">
        <v>5900</v>
      </c>
      <c r="B46" s="7">
        <v>45748</v>
      </c>
      <c r="C46" t="s">
        <v>87</v>
      </c>
      <c r="D46" t="s">
        <v>88</v>
      </c>
      <c r="E46" s="6">
        <v>1200</v>
      </c>
      <c r="G46">
        <v>210</v>
      </c>
      <c r="H46" s="7">
        <v>45717</v>
      </c>
      <c r="I46" t="str">
        <f>VLOOKUP(G46,Kostenstellen!$A$1:$C$17,2,0)</f>
        <v>Dev</v>
      </c>
    </row>
    <row r="47" spans="1:9" x14ac:dyDescent="0.2">
      <c r="A47">
        <v>5900</v>
      </c>
      <c r="B47" s="7">
        <v>45748</v>
      </c>
      <c r="C47" t="s">
        <v>89</v>
      </c>
      <c r="D47" t="s">
        <v>90</v>
      </c>
      <c r="E47" s="6">
        <v>3444</v>
      </c>
      <c r="G47">
        <v>210</v>
      </c>
      <c r="H47" s="7">
        <v>45717</v>
      </c>
      <c r="I47" t="str">
        <f>VLOOKUP(G47,Kostenstellen!$A$1:$C$17,2,0)</f>
        <v>Dev</v>
      </c>
    </row>
    <row r="48" spans="1:9" x14ac:dyDescent="0.2">
      <c r="A48">
        <v>5900</v>
      </c>
      <c r="B48" s="7">
        <v>45748</v>
      </c>
      <c r="C48" t="s">
        <v>91</v>
      </c>
      <c r="D48" t="s">
        <v>92</v>
      </c>
      <c r="E48" s="6">
        <v>3864</v>
      </c>
      <c r="G48">
        <v>210</v>
      </c>
      <c r="H48" s="7">
        <v>45717</v>
      </c>
      <c r="I48" t="str">
        <f>VLOOKUP(G48,Kostenstellen!$A$1:$C$17,2,0)</f>
        <v>Dev</v>
      </c>
    </row>
    <row r="49" spans="1:9" x14ac:dyDescent="0.2">
      <c r="A49">
        <v>5900</v>
      </c>
      <c r="B49" s="7">
        <v>45748</v>
      </c>
      <c r="C49" t="s">
        <v>93</v>
      </c>
      <c r="D49" t="s">
        <v>94</v>
      </c>
      <c r="E49" s="6">
        <v>2800</v>
      </c>
      <c r="G49">
        <v>210</v>
      </c>
      <c r="H49" s="7">
        <v>45717</v>
      </c>
      <c r="I49" t="str">
        <f>VLOOKUP(G49,Kostenstellen!$A$1:$C$17,2,0)</f>
        <v>Dev</v>
      </c>
    </row>
    <row r="50" spans="1:9" x14ac:dyDescent="0.2">
      <c r="A50">
        <v>5900</v>
      </c>
      <c r="B50" s="7">
        <v>45748</v>
      </c>
      <c r="C50" t="s">
        <v>95</v>
      </c>
      <c r="D50" t="s">
        <v>96</v>
      </c>
      <c r="E50" s="6">
        <v>1747.9</v>
      </c>
      <c r="G50">
        <v>210</v>
      </c>
      <c r="H50" s="7">
        <v>45717</v>
      </c>
      <c r="I50" t="str">
        <f>VLOOKUP(G50,Kostenstellen!$A$1:$C$17,2,0)</f>
        <v>Dev</v>
      </c>
    </row>
    <row r="51" spans="1:9" x14ac:dyDescent="0.2">
      <c r="A51">
        <v>5900</v>
      </c>
      <c r="B51" s="7">
        <v>45748</v>
      </c>
      <c r="C51" t="s">
        <v>97</v>
      </c>
      <c r="D51" t="s">
        <v>98</v>
      </c>
      <c r="E51">
        <v>714</v>
      </c>
      <c r="G51">
        <v>210</v>
      </c>
      <c r="H51" s="7">
        <v>45717</v>
      </c>
      <c r="I51" t="str">
        <f>VLOOKUP(G51,Kostenstellen!$A$1:$C$17,2,0)</f>
        <v>Dev</v>
      </c>
    </row>
    <row r="52" spans="1:9" x14ac:dyDescent="0.2">
      <c r="A52">
        <v>5900</v>
      </c>
      <c r="B52" s="7">
        <v>45748</v>
      </c>
      <c r="C52" t="s">
        <v>99</v>
      </c>
      <c r="D52" t="s">
        <v>100</v>
      </c>
      <c r="E52" s="6">
        <v>2800</v>
      </c>
      <c r="G52">
        <v>210</v>
      </c>
      <c r="H52" s="7">
        <v>45717</v>
      </c>
      <c r="I52" t="str">
        <f>VLOOKUP(G52,Kostenstellen!$A$1:$C$17,2,0)</f>
        <v>Dev</v>
      </c>
    </row>
    <row r="53" spans="1:9" x14ac:dyDescent="0.2">
      <c r="A53">
        <v>5900</v>
      </c>
      <c r="B53" s="7">
        <v>45762</v>
      </c>
      <c r="C53" t="s">
        <v>101</v>
      </c>
      <c r="D53">
        <v>20250415009</v>
      </c>
      <c r="E53" s="6">
        <v>1771.02</v>
      </c>
      <c r="G53">
        <v>201</v>
      </c>
      <c r="I53" t="str">
        <f>VLOOKUP(G53,Kostenstellen!$A$1:$C$17,2,0)</f>
        <v>indirekte</v>
      </c>
    </row>
    <row r="54" spans="1:9" x14ac:dyDescent="0.2">
      <c r="A54">
        <v>5900</v>
      </c>
      <c r="B54" s="7">
        <v>45778</v>
      </c>
      <c r="C54" t="s">
        <v>102</v>
      </c>
      <c r="D54" t="s">
        <v>103</v>
      </c>
      <c r="E54">
        <v>913.1</v>
      </c>
      <c r="G54">
        <v>235</v>
      </c>
      <c r="H54" s="7">
        <v>45748</v>
      </c>
      <c r="I54" t="str">
        <f>VLOOKUP(G54,Kostenstellen!$A$1:$C$17,2,0)</f>
        <v>Marketing</v>
      </c>
    </row>
    <row r="55" spans="1:9" x14ac:dyDescent="0.2">
      <c r="A55">
        <v>5900</v>
      </c>
      <c r="B55" s="7">
        <v>45778</v>
      </c>
      <c r="C55" t="s">
        <v>104</v>
      </c>
      <c r="D55" t="s">
        <v>105</v>
      </c>
      <c r="E55" s="6">
        <v>2700</v>
      </c>
      <c r="G55">
        <v>220</v>
      </c>
      <c r="H55" s="7">
        <v>45748</v>
      </c>
      <c r="I55" t="str">
        <f>VLOOKUP(G55,Kostenstellen!$A$1:$C$17,2,0)</f>
        <v>Product</v>
      </c>
    </row>
    <row r="56" spans="1:9" x14ac:dyDescent="0.2">
      <c r="A56">
        <v>5900</v>
      </c>
      <c r="B56" s="7">
        <v>45778</v>
      </c>
      <c r="C56" t="s">
        <v>106</v>
      </c>
      <c r="D56" t="s">
        <v>107</v>
      </c>
      <c r="E56" s="6">
        <v>6300</v>
      </c>
      <c r="G56">
        <v>210</v>
      </c>
      <c r="H56" s="7">
        <v>45748</v>
      </c>
      <c r="I56" t="str">
        <f>VLOOKUP(G56,Kostenstellen!$A$1:$C$17,2,0)</f>
        <v>Dev</v>
      </c>
    </row>
    <row r="57" spans="1:9" x14ac:dyDescent="0.2">
      <c r="A57">
        <v>5900</v>
      </c>
      <c r="B57" s="7">
        <v>45778</v>
      </c>
      <c r="C57" t="s">
        <v>108</v>
      </c>
      <c r="D57" t="s">
        <v>109</v>
      </c>
      <c r="E57" s="6">
        <v>5000</v>
      </c>
      <c r="G57">
        <v>210</v>
      </c>
      <c r="H57" s="7">
        <v>45748</v>
      </c>
      <c r="I57" t="str">
        <f>VLOOKUP(G57,Kostenstellen!$A$1:$C$17,2,0)</f>
        <v>Dev</v>
      </c>
    </row>
    <row r="58" spans="1:9" x14ac:dyDescent="0.2">
      <c r="A58">
        <v>5900</v>
      </c>
      <c r="B58" s="7">
        <v>45778</v>
      </c>
      <c r="C58" t="s">
        <v>110</v>
      </c>
      <c r="D58" t="s">
        <v>111</v>
      </c>
      <c r="E58" s="6">
        <v>3054.54</v>
      </c>
      <c r="G58">
        <v>210</v>
      </c>
      <c r="H58" s="7">
        <v>45748</v>
      </c>
      <c r="I58" t="str">
        <f>VLOOKUP(G58,Kostenstellen!$A$1:$C$17,2,0)</f>
        <v>Dev</v>
      </c>
    </row>
    <row r="59" spans="1:9" x14ac:dyDescent="0.2">
      <c r="A59">
        <v>5900</v>
      </c>
      <c r="B59" s="7">
        <v>45778</v>
      </c>
      <c r="C59" t="s">
        <v>112</v>
      </c>
      <c r="D59" t="s">
        <v>113</v>
      </c>
      <c r="E59" s="6">
        <v>2900</v>
      </c>
      <c r="G59">
        <v>210</v>
      </c>
      <c r="H59" s="7">
        <v>45748</v>
      </c>
      <c r="I59" t="str">
        <f>VLOOKUP(G59,Kostenstellen!$A$1:$C$17,2,0)</f>
        <v>Dev</v>
      </c>
    </row>
    <row r="60" spans="1:9" x14ac:dyDescent="0.2">
      <c r="A60">
        <v>5900</v>
      </c>
      <c r="B60" s="7">
        <v>45778</v>
      </c>
      <c r="C60" t="s">
        <v>114</v>
      </c>
      <c r="D60" t="s">
        <v>115</v>
      </c>
      <c r="E60" s="6">
        <v>4500</v>
      </c>
      <c r="G60">
        <v>210</v>
      </c>
      <c r="H60" s="7">
        <v>45748</v>
      </c>
      <c r="I60" t="str">
        <f>VLOOKUP(G60,Kostenstellen!$A$1:$C$17,2,0)</f>
        <v>Dev</v>
      </c>
    </row>
    <row r="61" spans="1:9" x14ac:dyDescent="0.2">
      <c r="A61">
        <v>5900</v>
      </c>
      <c r="B61" s="7">
        <v>45778</v>
      </c>
      <c r="C61" t="s">
        <v>116</v>
      </c>
      <c r="D61" t="s">
        <v>117</v>
      </c>
      <c r="E61" s="6">
        <v>1200</v>
      </c>
      <c r="G61">
        <v>210</v>
      </c>
      <c r="H61" s="7">
        <v>45748</v>
      </c>
      <c r="I61" t="str">
        <f>VLOOKUP(G61,Kostenstellen!$A$1:$C$17,2,0)</f>
        <v>Dev</v>
      </c>
    </row>
    <row r="62" spans="1:9" x14ac:dyDescent="0.2">
      <c r="A62">
        <v>5900</v>
      </c>
      <c r="B62" s="7">
        <v>45778</v>
      </c>
      <c r="C62" t="s">
        <v>118</v>
      </c>
      <c r="D62" t="s">
        <v>119</v>
      </c>
      <c r="E62" s="6">
        <v>3608</v>
      </c>
      <c r="G62">
        <v>210</v>
      </c>
      <c r="H62" s="7">
        <v>45748</v>
      </c>
      <c r="I62" t="str">
        <f>VLOOKUP(G62,Kostenstellen!$A$1:$C$17,2,0)</f>
        <v>Dev</v>
      </c>
    </row>
    <row r="63" spans="1:9" x14ac:dyDescent="0.2">
      <c r="A63">
        <v>5900</v>
      </c>
      <c r="B63" s="7">
        <v>45778</v>
      </c>
      <c r="C63" t="s">
        <v>120</v>
      </c>
      <c r="D63" t="s">
        <v>121</v>
      </c>
      <c r="E63" s="6">
        <v>4048</v>
      </c>
      <c r="G63">
        <v>210</v>
      </c>
      <c r="H63" s="7">
        <v>45748</v>
      </c>
      <c r="I63" t="str">
        <f>VLOOKUP(G63,Kostenstellen!$A$1:$C$17,2,0)</f>
        <v>Dev</v>
      </c>
    </row>
    <row r="64" spans="1:9" x14ac:dyDescent="0.2">
      <c r="A64">
        <v>5900</v>
      </c>
      <c r="B64" s="7">
        <v>45778</v>
      </c>
      <c r="C64" t="s">
        <v>122</v>
      </c>
      <c r="D64" t="s">
        <v>123</v>
      </c>
      <c r="E64" s="6">
        <v>2800</v>
      </c>
      <c r="G64">
        <v>210</v>
      </c>
      <c r="H64" s="7">
        <v>45748</v>
      </c>
      <c r="I64" t="str">
        <f>VLOOKUP(G64,Kostenstellen!$A$1:$C$17,2,0)</f>
        <v>Dev</v>
      </c>
    </row>
    <row r="65" spans="1:9" x14ac:dyDescent="0.2">
      <c r="A65">
        <v>5900</v>
      </c>
      <c r="B65" s="7">
        <v>45778</v>
      </c>
      <c r="C65" t="s">
        <v>124</v>
      </c>
      <c r="D65" t="s">
        <v>125</v>
      </c>
      <c r="E65" s="6">
        <v>1739</v>
      </c>
      <c r="G65">
        <v>210</v>
      </c>
      <c r="H65" s="7">
        <v>45748</v>
      </c>
      <c r="I65" t="str">
        <f>VLOOKUP(G65,Kostenstellen!$A$1:$C$17,2,0)</f>
        <v>Dev</v>
      </c>
    </row>
    <row r="66" spans="1:9" x14ac:dyDescent="0.2">
      <c r="A66">
        <v>5900</v>
      </c>
      <c r="B66" s="7">
        <v>45778</v>
      </c>
      <c r="C66" t="s">
        <v>126</v>
      </c>
      <c r="D66" t="s">
        <v>127</v>
      </c>
      <c r="E66">
        <v>714</v>
      </c>
      <c r="G66">
        <v>210</v>
      </c>
      <c r="H66" s="7">
        <v>45748</v>
      </c>
      <c r="I66" t="str">
        <f>VLOOKUP(G66,Kostenstellen!$A$1:$C$17,2,0)</f>
        <v>Dev</v>
      </c>
    </row>
    <row r="67" spans="1:9" x14ac:dyDescent="0.2">
      <c r="A67">
        <v>5900</v>
      </c>
      <c r="B67" s="7">
        <v>45778</v>
      </c>
      <c r="C67" t="s">
        <v>128</v>
      </c>
      <c r="D67" t="s">
        <v>129</v>
      </c>
      <c r="E67" s="6">
        <v>2672.73</v>
      </c>
      <c r="G67">
        <v>210</v>
      </c>
      <c r="H67" s="7">
        <v>45748</v>
      </c>
      <c r="I67" t="str">
        <f>VLOOKUP(G67,Kostenstellen!$A$1:$C$17,2,0)</f>
        <v>Dev</v>
      </c>
    </row>
    <row r="68" spans="1:9" x14ac:dyDescent="0.2">
      <c r="A68">
        <v>5900</v>
      </c>
      <c r="B68" s="7">
        <v>45792</v>
      </c>
      <c r="C68" t="s">
        <v>130</v>
      </c>
      <c r="D68">
        <v>20250515004</v>
      </c>
      <c r="E68" s="6">
        <v>1340</v>
      </c>
      <c r="G68">
        <v>201</v>
      </c>
      <c r="I68" t="str">
        <f>VLOOKUP(G68,Kostenstellen!$A$1:$C$17,2,0)</f>
        <v>indirekte</v>
      </c>
    </row>
    <row r="69" spans="1:9" x14ac:dyDescent="0.2">
      <c r="A69">
        <v>5900</v>
      </c>
      <c r="B69" s="7">
        <v>45809</v>
      </c>
      <c r="C69" t="s">
        <v>131</v>
      </c>
      <c r="D69" t="s">
        <v>132</v>
      </c>
      <c r="E69" s="6">
        <v>2700</v>
      </c>
      <c r="G69">
        <v>220</v>
      </c>
      <c r="H69" s="7">
        <v>45778</v>
      </c>
      <c r="I69" t="str">
        <f>VLOOKUP(G69,Kostenstellen!$A$1:$C$17,2,0)</f>
        <v>Product</v>
      </c>
    </row>
    <row r="70" spans="1:9" x14ac:dyDescent="0.2">
      <c r="A70">
        <v>5900</v>
      </c>
      <c r="B70" s="7">
        <v>45809</v>
      </c>
      <c r="C70" t="s">
        <v>133</v>
      </c>
      <c r="D70" t="s">
        <v>134</v>
      </c>
      <c r="E70" s="6">
        <v>6300</v>
      </c>
      <c r="G70">
        <v>210</v>
      </c>
      <c r="H70" s="7">
        <v>45778</v>
      </c>
      <c r="I70" t="str">
        <f>VLOOKUP(G70,Kostenstellen!$A$1:$C$17,2,0)</f>
        <v>Dev</v>
      </c>
    </row>
    <row r="71" spans="1:9" x14ac:dyDescent="0.2">
      <c r="A71">
        <v>5900</v>
      </c>
      <c r="B71" s="7">
        <v>45809</v>
      </c>
      <c r="C71" t="s">
        <v>135</v>
      </c>
      <c r="D71" t="s">
        <v>136</v>
      </c>
      <c r="E71" s="6">
        <v>5000</v>
      </c>
      <c r="G71">
        <v>210</v>
      </c>
      <c r="H71" s="7">
        <v>45808</v>
      </c>
      <c r="I71" t="str">
        <f>VLOOKUP(G71,Kostenstellen!$A$1:$C$17,2,0)</f>
        <v>Dev</v>
      </c>
    </row>
    <row r="72" spans="1:9" x14ac:dyDescent="0.2">
      <c r="A72">
        <v>5900</v>
      </c>
      <c r="B72" s="7">
        <v>45809</v>
      </c>
      <c r="C72" t="s">
        <v>137</v>
      </c>
      <c r="D72" t="s">
        <v>138</v>
      </c>
      <c r="E72" s="6">
        <v>2900</v>
      </c>
      <c r="G72">
        <v>210</v>
      </c>
      <c r="H72" s="7">
        <v>45778</v>
      </c>
      <c r="I72" t="str">
        <f>VLOOKUP(G72,Kostenstellen!$A$1:$C$17,2,0)</f>
        <v>Dev</v>
      </c>
    </row>
    <row r="73" spans="1:9" x14ac:dyDescent="0.2">
      <c r="A73">
        <v>5900</v>
      </c>
      <c r="B73" s="7">
        <v>45809</v>
      </c>
      <c r="C73" t="s">
        <v>139</v>
      </c>
      <c r="D73" t="s">
        <v>140</v>
      </c>
      <c r="E73" s="6">
        <v>4500</v>
      </c>
      <c r="G73">
        <v>210</v>
      </c>
      <c r="H73" s="7">
        <v>45808</v>
      </c>
      <c r="I73" t="str">
        <f>VLOOKUP(G73,Kostenstellen!$A$1:$C$17,2,0)</f>
        <v>Dev</v>
      </c>
    </row>
    <row r="74" spans="1:9" x14ac:dyDescent="0.2">
      <c r="A74">
        <v>5900</v>
      </c>
      <c r="B74" s="7">
        <v>45809</v>
      </c>
      <c r="C74" t="s">
        <v>141</v>
      </c>
      <c r="D74" t="s">
        <v>142</v>
      </c>
      <c r="E74" s="6">
        <v>1200</v>
      </c>
      <c r="G74">
        <v>210</v>
      </c>
      <c r="H74" s="7">
        <v>45808</v>
      </c>
      <c r="I74" t="str">
        <f>VLOOKUP(G74,Kostenstellen!$A$1:$C$17,2,0)</f>
        <v>Dev</v>
      </c>
    </row>
    <row r="75" spans="1:9" x14ac:dyDescent="0.2">
      <c r="A75">
        <v>5900</v>
      </c>
      <c r="B75" s="7">
        <v>45809</v>
      </c>
      <c r="C75" t="s">
        <v>143</v>
      </c>
      <c r="D75" t="s">
        <v>144</v>
      </c>
      <c r="E75" s="6">
        <v>3608</v>
      </c>
      <c r="G75">
        <v>210</v>
      </c>
      <c r="H75" s="7">
        <v>45808</v>
      </c>
      <c r="I75" t="str">
        <f>VLOOKUP(G75,Kostenstellen!$A$1:$C$17,2,0)</f>
        <v>Dev</v>
      </c>
    </row>
    <row r="76" spans="1:9" x14ac:dyDescent="0.2">
      <c r="A76">
        <v>5900</v>
      </c>
      <c r="B76" s="7">
        <v>45809</v>
      </c>
      <c r="C76" t="s">
        <v>145</v>
      </c>
      <c r="D76" t="s">
        <v>146</v>
      </c>
      <c r="E76" s="6">
        <v>4048</v>
      </c>
      <c r="G76">
        <v>210</v>
      </c>
      <c r="H76" s="7">
        <v>45808</v>
      </c>
      <c r="I76" t="str">
        <f>VLOOKUP(G76,Kostenstellen!$A$1:$C$17,2,0)</f>
        <v>Dev</v>
      </c>
    </row>
    <row r="77" spans="1:9" x14ac:dyDescent="0.2">
      <c r="A77">
        <v>5900</v>
      </c>
      <c r="B77" s="7">
        <v>45809</v>
      </c>
      <c r="C77" t="s">
        <v>147</v>
      </c>
      <c r="D77" t="s">
        <v>148</v>
      </c>
      <c r="E77" s="6">
        <v>2800</v>
      </c>
      <c r="G77">
        <v>210</v>
      </c>
      <c r="H77" s="7">
        <v>45778</v>
      </c>
      <c r="I77" t="str">
        <f>VLOOKUP(G77,Kostenstellen!$A$1:$C$17,2,0)</f>
        <v>Dev</v>
      </c>
    </row>
    <row r="78" spans="1:9" x14ac:dyDescent="0.2">
      <c r="A78">
        <v>5900</v>
      </c>
      <c r="B78" s="7">
        <v>45809</v>
      </c>
      <c r="C78" t="s">
        <v>149</v>
      </c>
      <c r="D78" t="s">
        <v>150</v>
      </c>
      <c r="E78" s="6">
        <v>1739</v>
      </c>
      <c r="G78">
        <v>210</v>
      </c>
      <c r="H78" s="7">
        <v>45778</v>
      </c>
      <c r="I78" t="str">
        <f>VLOOKUP(G78,Kostenstellen!$A$1:$C$17,2,0)</f>
        <v>Dev</v>
      </c>
    </row>
    <row r="79" spans="1:9" x14ac:dyDescent="0.2">
      <c r="A79">
        <v>5900</v>
      </c>
      <c r="B79" s="7">
        <v>45809</v>
      </c>
      <c r="C79" t="s">
        <v>151</v>
      </c>
      <c r="D79" t="s">
        <v>152</v>
      </c>
      <c r="E79">
        <v>714</v>
      </c>
      <c r="G79">
        <v>210</v>
      </c>
      <c r="H79" s="7">
        <v>45778</v>
      </c>
      <c r="I79" t="str">
        <f>VLOOKUP(G79,Kostenstellen!$A$1:$C$17,2,0)</f>
        <v>Dev</v>
      </c>
    </row>
    <row r="80" spans="1:9" x14ac:dyDescent="0.2">
      <c r="A80">
        <v>5900</v>
      </c>
      <c r="B80" s="7">
        <v>45809</v>
      </c>
      <c r="C80" t="s">
        <v>153</v>
      </c>
      <c r="D80" t="s">
        <v>154</v>
      </c>
      <c r="E80" s="6">
        <v>2800</v>
      </c>
      <c r="G80">
        <v>210</v>
      </c>
      <c r="H80" s="7">
        <v>45808</v>
      </c>
      <c r="I80" t="str">
        <f>VLOOKUP(G80,Kostenstellen!$A$1:$C$17,2,0)</f>
        <v>Dev</v>
      </c>
    </row>
    <row r="81" spans="1:9" x14ac:dyDescent="0.2">
      <c r="A81">
        <v>5900</v>
      </c>
      <c r="B81" s="7">
        <v>45810</v>
      </c>
      <c r="C81" t="s">
        <v>155</v>
      </c>
      <c r="D81" t="s">
        <v>156</v>
      </c>
      <c r="E81" s="6">
        <v>3000</v>
      </c>
      <c r="G81">
        <v>210</v>
      </c>
      <c r="H81" s="7">
        <v>45778</v>
      </c>
      <c r="I81" t="str">
        <f>VLOOKUP(G81,Kostenstellen!$A$1:$C$17,2,0)</f>
        <v>Dev</v>
      </c>
    </row>
    <row r="82" spans="1:9" x14ac:dyDescent="0.2">
      <c r="A82">
        <v>5900</v>
      </c>
      <c r="B82" s="7">
        <v>45823</v>
      </c>
      <c r="C82" t="s">
        <v>157</v>
      </c>
      <c r="D82">
        <v>202506006</v>
      </c>
      <c r="E82">
        <v>889.29</v>
      </c>
      <c r="G82">
        <v>201</v>
      </c>
      <c r="I82" t="str">
        <f>VLOOKUP(G82,Kostenstellen!$A$1:$C$17,2,0)</f>
        <v>indirekte</v>
      </c>
    </row>
    <row r="83" spans="1:9" x14ac:dyDescent="0.2">
      <c r="A83">
        <v>5900</v>
      </c>
      <c r="B83" s="7">
        <v>45839</v>
      </c>
      <c r="C83" t="s">
        <v>158</v>
      </c>
      <c r="D83" t="s">
        <v>159</v>
      </c>
      <c r="E83">
        <v>671.75</v>
      </c>
      <c r="G83">
        <v>235</v>
      </c>
      <c r="H83" s="7">
        <v>45838</v>
      </c>
      <c r="I83" t="str">
        <f>VLOOKUP(G83,Kostenstellen!$A$1:$C$17,2,0)</f>
        <v>Marketing</v>
      </c>
    </row>
    <row r="84" spans="1:9" x14ac:dyDescent="0.2">
      <c r="A84">
        <v>5900</v>
      </c>
      <c r="B84" s="7">
        <v>45839</v>
      </c>
      <c r="C84" t="s">
        <v>160</v>
      </c>
      <c r="D84" t="s">
        <v>161</v>
      </c>
      <c r="E84" s="6">
        <v>3300</v>
      </c>
      <c r="G84">
        <v>220</v>
      </c>
      <c r="H84" s="7">
        <v>45838</v>
      </c>
      <c r="I84" t="str">
        <f>VLOOKUP(G84,Kostenstellen!$A$1:$C$17,2,0)</f>
        <v>Product</v>
      </c>
    </row>
    <row r="85" spans="1:9" x14ac:dyDescent="0.2">
      <c r="A85">
        <v>5900</v>
      </c>
      <c r="B85" s="7">
        <v>45839</v>
      </c>
      <c r="C85" t="s">
        <v>162</v>
      </c>
      <c r="D85" t="s">
        <v>163</v>
      </c>
      <c r="E85" s="6">
        <v>2700</v>
      </c>
      <c r="G85">
        <v>220</v>
      </c>
      <c r="H85" s="7">
        <v>45838</v>
      </c>
      <c r="I85" t="str">
        <f>VLOOKUP(G85,Kostenstellen!$A$1:$C$17,2,0)</f>
        <v>Product</v>
      </c>
    </row>
    <row r="86" spans="1:9" x14ac:dyDescent="0.2">
      <c r="A86">
        <v>5900</v>
      </c>
      <c r="B86" s="7">
        <v>45839</v>
      </c>
      <c r="C86" t="s">
        <v>164</v>
      </c>
      <c r="D86" t="s">
        <v>165</v>
      </c>
      <c r="E86" s="6">
        <v>6300</v>
      </c>
      <c r="G86">
        <v>210</v>
      </c>
      <c r="H86" s="7">
        <v>45838</v>
      </c>
      <c r="I86" t="str">
        <f>VLOOKUP(G86,Kostenstellen!$A$1:$C$17,2,0)</f>
        <v>Dev</v>
      </c>
    </row>
    <row r="87" spans="1:9" x14ac:dyDescent="0.2">
      <c r="A87">
        <v>5900</v>
      </c>
      <c r="B87" s="7">
        <v>45839</v>
      </c>
      <c r="C87" t="s">
        <v>166</v>
      </c>
      <c r="D87" t="s">
        <v>167</v>
      </c>
      <c r="E87" s="6">
        <v>5000</v>
      </c>
      <c r="G87">
        <v>210</v>
      </c>
      <c r="H87" s="7">
        <v>45838</v>
      </c>
      <c r="I87" t="str">
        <f>VLOOKUP(G87,Kostenstellen!$A$1:$C$17,2,0)</f>
        <v>Dev</v>
      </c>
    </row>
    <row r="88" spans="1:9" x14ac:dyDescent="0.2">
      <c r="A88">
        <v>5900</v>
      </c>
      <c r="B88" s="7">
        <v>45839</v>
      </c>
      <c r="C88" t="s">
        <v>168</v>
      </c>
      <c r="D88" t="s">
        <v>169</v>
      </c>
      <c r="E88" s="6">
        <v>4000</v>
      </c>
      <c r="G88">
        <v>210</v>
      </c>
      <c r="H88" s="7">
        <v>45838</v>
      </c>
      <c r="I88" t="str">
        <f>VLOOKUP(G88,Kostenstellen!$A$1:$C$17,2,0)</f>
        <v>Dev</v>
      </c>
    </row>
    <row r="89" spans="1:9" x14ac:dyDescent="0.2">
      <c r="A89">
        <v>5900</v>
      </c>
      <c r="B89" s="7">
        <v>45839</v>
      </c>
      <c r="C89" t="s">
        <v>170</v>
      </c>
      <c r="D89" t="s">
        <v>171</v>
      </c>
      <c r="E89" s="6">
        <v>2900</v>
      </c>
      <c r="G89">
        <v>210</v>
      </c>
      <c r="H89" s="7">
        <v>45838</v>
      </c>
      <c r="I89" t="str">
        <f>VLOOKUP(G89,Kostenstellen!$A$1:$C$17,2,0)</f>
        <v>Dev</v>
      </c>
    </row>
    <row r="90" spans="1:9" x14ac:dyDescent="0.2">
      <c r="A90">
        <v>5900</v>
      </c>
      <c r="B90" s="7">
        <v>45839</v>
      </c>
      <c r="C90" t="s">
        <v>172</v>
      </c>
      <c r="D90" t="s">
        <v>173</v>
      </c>
      <c r="E90" s="6">
        <v>4500</v>
      </c>
      <c r="G90">
        <v>210</v>
      </c>
      <c r="H90" s="7">
        <v>45838</v>
      </c>
      <c r="I90" t="str">
        <f>VLOOKUP(G90,Kostenstellen!$A$1:$C$17,2,0)</f>
        <v>Dev</v>
      </c>
    </row>
    <row r="91" spans="1:9" x14ac:dyDescent="0.2">
      <c r="A91">
        <v>5900</v>
      </c>
      <c r="B91" s="7">
        <v>45839</v>
      </c>
      <c r="C91" t="s">
        <v>174</v>
      </c>
      <c r="D91" t="s">
        <v>175</v>
      </c>
      <c r="E91" s="6">
        <v>1200</v>
      </c>
      <c r="G91">
        <v>210</v>
      </c>
      <c r="H91" s="7">
        <v>45838</v>
      </c>
      <c r="I91" t="str">
        <f>VLOOKUP(G91,Kostenstellen!$A$1:$C$17,2,0)</f>
        <v>Dev</v>
      </c>
    </row>
    <row r="92" spans="1:9" x14ac:dyDescent="0.2">
      <c r="A92">
        <v>5900</v>
      </c>
      <c r="B92" s="7">
        <v>45839</v>
      </c>
      <c r="C92" t="s">
        <v>176</v>
      </c>
      <c r="D92" t="s">
        <v>177</v>
      </c>
      <c r="E92" s="6">
        <v>2624</v>
      </c>
      <c r="G92">
        <v>210</v>
      </c>
      <c r="H92" s="7">
        <v>45838</v>
      </c>
      <c r="I92" t="str">
        <f>VLOOKUP(G92,Kostenstellen!$A$1:$C$17,2,0)</f>
        <v>Dev</v>
      </c>
    </row>
    <row r="93" spans="1:9" x14ac:dyDescent="0.2">
      <c r="A93">
        <v>5900</v>
      </c>
      <c r="B93" s="7">
        <v>45839</v>
      </c>
      <c r="C93" t="s">
        <v>178</v>
      </c>
      <c r="D93" t="s">
        <v>179</v>
      </c>
      <c r="E93" s="6">
        <v>3864</v>
      </c>
      <c r="G93">
        <v>210</v>
      </c>
      <c r="H93" s="7">
        <v>45838</v>
      </c>
      <c r="I93" t="str">
        <f>VLOOKUP(G93,Kostenstellen!$A$1:$C$17,2,0)</f>
        <v>Dev</v>
      </c>
    </row>
    <row r="94" spans="1:9" x14ac:dyDescent="0.2">
      <c r="A94">
        <v>5900</v>
      </c>
      <c r="B94" s="7">
        <v>45839</v>
      </c>
      <c r="C94" t="s">
        <v>180</v>
      </c>
      <c r="D94" t="s">
        <v>181</v>
      </c>
      <c r="E94" s="6">
        <v>2800</v>
      </c>
      <c r="G94">
        <v>210</v>
      </c>
      <c r="H94" s="7">
        <v>45838</v>
      </c>
      <c r="I94" t="str">
        <f>VLOOKUP(G94,Kostenstellen!$A$1:$C$17,2,0)</f>
        <v>Dev</v>
      </c>
    </row>
    <row r="95" spans="1:9" x14ac:dyDescent="0.2">
      <c r="A95">
        <v>5900</v>
      </c>
      <c r="B95" s="7">
        <v>45839</v>
      </c>
      <c r="C95" t="s">
        <v>182</v>
      </c>
      <c r="D95" t="s">
        <v>183</v>
      </c>
      <c r="E95" s="6">
        <v>2039</v>
      </c>
      <c r="G95">
        <v>210</v>
      </c>
      <c r="H95" s="7">
        <v>45838</v>
      </c>
      <c r="I95" t="str">
        <f>VLOOKUP(G95,Kostenstellen!$A$1:$C$17,2,0)</f>
        <v>Dev</v>
      </c>
    </row>
    <row r="96" spans="1:9" x14ac:dyDescent="0.2">
      <c r="A96">
        <v>5900</v>
      </c>
      <c r="B96" s="7">
        <v>45839</v>
      </c>
      <c r="C96" t="s">
        <v>184</v>
      </c>
      <c r="D96" t="s">
        <v>185</v>
      </c>
      <c r="E96">
        <v>714</v>
      </c>
      <c r="G96">
        <v>210</v>
      </c>
      <c r="H96" s="7">
        <v>45838</v>
      </c>
      <c r="I96" t="str">
        <f>VLOOKUP(G96,Kostenstellen!$A$1:$C$17,2,0)</f>
        <v>Dev</v>
      </c>
    </row>
    <row r="97" spans="1:9" x14ac:dyDescent="0.2">
      <c r="A97">
        <v>5900</v>
      </c>
      <c r="B97" s="7">
        <v>45839</v>
      </c>
      <c r="C97" t="s">
        <v>186</v>
      </c>
      <c r="D97" t="s">
        <v>187</v>
      </c>
      <c r="E97" s="6">
        <v>2800</v>
      </c>
      <c r="G97">
        <v>210</v>
      </c>
      <c r="H97" s="7">
        <v>45838</v>
      </c>
      <c r="I97" t="str">
        <f>VLOOKUP(G97,Kostenstellen!$A$1:$C$17,2,0)</f>
        <v>Dev</v>
      </c>
    </row>
    <row r="98" spans="1:9" x14ac:dyDescent="0.2">
      <c r="A98">
        <v>5900</v>
      </c>
      <c r="B98" s="7">
        <v>45846</v>
      </c>
      <c r="C98" t="s">
        <v>71</v>
      </c>
      <c r="D98">
        <v>20252000293</v>
      </c>
      <c r="E98" s="6">
        <v>1599</v>
      </c>
      <c r="G98">
        <v>200</v>
      </c>
      <c r="I98" t="str">
        <f>VLOOKUP(G98,Kostenstellen!$A$1:$C$17,2,0)</f>
        <v>aqua</v>
      </c>
    </row>
    <row r="99" spans="1:9" x14ac:dyDescent="0.2">
      <c r="A99">
        <v>5900</v>
      </c>
      <c r="B99" s="7">
        <v>45853</v>
      </c>
      <c r="C99" t="s">
        <v>188</v>
      </c>
      <c r="D99">
        <v>20250715003</v>
      </c>
      <c r="E99">
        <v>899.07</v>
      </c>
      <c r="G99">
        <v>201</v>
      </c>
      <c r="I99" t="str">
        <f>VLOOKUP(G99,Kostenstellen!$A$1:$C$17,2,0)</f>
        <v>indirekte</v>
      </c>
    </row>
    <row r="100" spans="1:9" x14ac:dyDescent="0.2">
      <c r="A100">
        <v>5900</v>
      </c>
      <c r="B100" s="7">
        <v>45870</v>
      </c>
      <c r="C100" t="s">
        <v>189</v>
      </c>
      <c r="D100" t="s">
        <v>190</v>
      </c>
      <c r="E100" s="6">
        <v>3300</v>
      </c>
      <c r="G100">
        <v>220</v>
      </c>
      <c r="H100" s="7">
        <v>45839</v>
      </c>
      <c r="I100" t="str">
        <f>VLOOKUP(G100,Kostenstellen!$A$1:$C$17,2,0)</f>
        <v>Product</v>
      </c>
    </row>
    <row r="101" spans="1:9" x14ac:dyDescent="0.2">
      <c r="A101">
        <v>5900</v>
      </c>
      <c r="B101" s="7">
        <v>45870</v>
      </c>
      <c r="C101" t="s">
        <v>191</v>
      </c>
      <c r="D101" t="s">
        <v>192</v>
      </c>
      <c r="E101" s="6">
        <v>2700</v>
      </c>
      <c r="G101">
        <v>220</v>
      </c>
      <c r="H101" s="7">
        <v>45839</v>
      </c>
      <c r="I101" t="str">
        <f>VLOOKUP(G101,Kostenstellen!$A$1:$C$17,2,0)</f>
        <v>Product</v>
      </c>
    </row>
    <row r="102" spans="1:9" x14ac:dyDescent="0.2">
      <c r="A102">
        <v>5900</v>
      </c>
      <c r="B102" s="7">
        <v>45870</v>
      </c>
      <c r="C102" t="s">
        <v>193</v>
      </c>
      <c r="D102" t="s">
        <v>194</v>
      </c>
      <c r="E102" s="6">
        <v>6300</v>
      </c>
      <c r="G102">
        <v>210</v>
      </c>
      <c r="H102" s="7">
        <v>45839</v>
      </c>
      <c r="I102" t="str">
        <f>VLOOKUP(G102,Kostenstellen!$A$1:$C$17,2,0)</f>
        <v>Dev</v>
      </c>
    </row>
    <row r="103" spans="1:9" x14ac:dyDescent="0.2">
      <c r="A103">
        <v>5900</v>
      </c>
      <c r="B103" s="7">
        <v>45870</v>
      </c>
      <c r="C103" t="s">
        <v>195</v>
      </c>
      <c r="D103" t="s">
        <v>196</v>
      </c>
      <c r="E103" s="6">
        <v>5000</v>
      </c>
      <c r="G103">
        <v>210</v>
      </c>
      <c r="H103" s="7">
        <v>45839</v>
      </c>
      <c r="I103" t="str">
        <f>VLOOKUP(G103,Kostenstellen!$A$1:$C$17,2,0)</f>
        <v>Dev</v>
      </c>
    </row>
    <row r="104" spans="1:9" x14ac:dyDescent="0.2">
      <c r="A104">
        <v>5900</v>
      </c>
      <c r="B104" s="7">
        <v>45870</v>
      </c>
      <c r="C104" t="s">
        <v>197</v>
      </c>
      <c r="D104" t="s">
        <v>198</v>
      </c>
      <c r="E104" s="6">
        <v>4000</v>
      </c>
      <c r="G104">
        <v>210</v>
      </c>
      <c r="H104" s="7">
        <v>45869</v>
      </c>
      <c r="I104" t="str">
        <f>VLOOKUP(G104,Kostenstellen!$A$1:$C$17,2,0)</f>
        <v>Dev</v>
      </c>
    </row>
    <row r="105" spans="1:9" x14ac:dyDescent="0.2">
      <c r="A105">
        <v>5900</v>
      </c>
      <c r="B105" s="7">
        <v>45870</v>
      </c>
      <c r="C105" t="s">
        <v>199</v>
      </c>
      <c r="D105" t="s">
        <v>200</v>
      </c>
      <c r="E105" s="6">
        <v>2900</v>
      </c>
      <c r="G105">
        <v>210</v>
      </c>
      <c r="H105" s="7">
        <v>45839</v>
      </c>
      <c r="I105" t="str">
        <f>VLOOKUP(G105,Kostenstellen!$A$1:$C$17,2,0)</f>
        <v>Dev</v>
      </c>
    </row>
    <row r="106" spans="1:9" x14ac:dyDescent="0.2">
      <c r="A106">
        <v>5900</v>
      </c>
      <c r="B106" s="7">
        <v>45870</v>
      </c>
      <c r="C106" t="s">
        <v>201</v>
      </c>
      <c r="D106" t="s">
        <v>202</v>
      </c>
      <c r="E106" s="6">
        <v>2181.8200000000002</v>
      </c>
      <c r="G106">
        <v>210</v>
      </c>
      <c r="H106" s="7">
        <v>45839</v>
      </c>
      <c r="I106" t="str">
        <f>VLOOKUP(G106,Kostenstellen!$A$1:$C$17,2,0)</f>
        <v>Dev</v>
      </c>
    </row>
    <row r="107" spans="1:9" x14ac:dyDescent="0.2">
      <c r="A107">
        <v>5900</v>
      </c>
      <c r="B107" s="7">
        <v>45870</v>
      </c>
      <c r="C107" t="s">
        <v>203</v>
      </c>
      <c r="D107" t="s">
        <v>202</v>
      </c>
      <c r="E107" s="6">
        <v>1909</v>
      </c>
      <c r="G107">
        <v>210</v>
      </c>
      <c r="H107" s="7">
        <v>45839</v>
      </c>
      <c r="I107" t="str">
        <f>VLOOKUP(G107,Kostenstellen!$A$1:$C$17,2,0)</f>
        <v>Dev</v>
      </c>
    </row>
    <row r="108" spans="1:9" x14ac:dyDescent="0.2">
      <c r="A108">
        <v>5900</v>
      </c>
      <c r="B108" s="7">
        <v>45870</v>
      </c>
      <c r="C108" t="s">
        <v>204</v>
      </c>
      <c r="D108" t="s">
        <v>205</v>
      </c>
      <c r="E108" s="6">
        <v>4500</v>
      </c>
      <c r="G108">
        <v>210</v>
      </c>
      <c r="H108" s="7">
        <v>45839</v>
      </c>
      <c r="I108" t="str">
        <f>VLOOKUP(G108,Kostenstellen!$A$1:$C$17,2,0)</f>
        <v>Dev</v>
      </c>
    </row>
    <row r="109" spans="1:9" x14ac:dyDescent="0.2">
      <c r="A109">
        <v>5900</v>
      </c>
      <c r="B109" s="7">
        <v>45870</v>
      </c>
      <c r="C109" t="s">
        <v>206</v>
      </c>
      <c r="D109" t="s">
        <v>207</v>
      </c>
      <c r="E109" s="6">
        <v>1200</v>
      </c>
      <c r="G109">
        <v>210</v>
      </c>
      <c r="H109" s="7">
        <v>45869</v>
      </c>
      <c r="I109" t="str">
        <f>VLOOKUP(G109,Kostenstellen!$A$1:$C$17,2,0)</f>
        <v>Dev</v>
      </c>
    </row>
    <row r="110" spans="1:9" x14ac:dyDescent="0.2">
      <c r="A110">
        <v>5900</v>
      </c>
      <c r="B110" s="7">
        <v>45870</v>
      </c>
      <c r="C110" t="s">
        <v>208</v>
      </c>
      <c r="D110" t="s">
        <v>209</v>
      </c>
      <c r="E110" s="6">
        <v>4232</v>
      </c>
      <c r="G110">
        <v>210</v>
      </c>
      <c r="H110" s="7">
        <v>45869</v>
      </c>
      <c r="I110" t="str">
        <f>VLOOKUP(G110,Kostenstellen!$A$1:$C$17,2,0)</f>
        <v>Dev</v>
      </c>
    </row>
    <row r="111" spans="1:9" x14ac:dyDescent="0.2">
      <c r="A111">
        <v>5900</v>
      </c>
      <c r="B111" s="7">
        <v>45870</v>
      </c>
      <c r="C111" t="s">
        <v>210</v>
      </c>
      <c r="D111" t="s">
        <v>211</v>
      </c>
      <c r="E111" s="6">
        <v>2800</v>
      </c>
      <c r="G111">
        <v>210</v>
      </c>
      <c r="H111" s="7">
        <v>45839</v>
      </c>
      <c r="I111" t="str">
        <f>VLOOKUP(G111,Kostenstellen!$A$1:$C$17,2,0)</f>
        <v>Dev</v>
      </c>
    </row>
    <row r="112" spans="1:9" x14ac:dyDescent="0.2">
      <c r="A112">
        <v>5900</v>
      </c>
      <c r="B112" s="7">
        <v>45870</v>
      </c>
      <c r="C112" t="s">
        <v>212</v>
      </c>
      <c r="D112" t="s">
        <v>213</v>
      </c>
      <c r="E112" s="6">
        <v>2039</v>
      </c>
      <c r="G112">
        <v>210</v>
      </c>
      <c r="H112" s="7">
        <v>45839</v>
      </c>
      <c r="I112" t="str">
        <f>VLOOKUP(G112,Kostenstellen!$A$1:$C$17,2,0)</f>
        <v>Dev</v>
      </c>
    </row>
    <row r="113" spans="1:9" x14ac:dyDescent="0.2">
      <c r="A113">
        <v>5900</v>
      </c>
      <c r="B113" s="7">
        <v>45870</v>
      </c>
      <c r="C113" t="s">
        <v>214</v>
      </c>
      <c r="D113" t="s">
        <v>215</v>
      </c>
      <c r="E113">
        <v>714</v>
      </c>
      <c r="G113">
        <v>210</v>
      </c>
      <c r="H113" s="7">
        <v>45839</v>
      </c>
      <c r="I113" t="str">
        <f>VLOOKUP(G113,Kostenstellen!$A$1:$C$17,2,0)</f>
        <v>Dev</v>
      </c>
    </row>
    <row r="114" spans="1:9" x14ac:dyDescent="0.2">
      <c r="A114">
        <v>5900</v>
      </c>
      <c r="B114" s="7">
        <v>45870</v>
      </c>
      <c r="C114" t="s">
        <v>216</v>
      </c>
      <c r="D114" t="s">
        <v>217</v>
      </c>
      <c r="E114" s="6">
        <v>2800</v>
      </c>
      <c r="G114">
        <v>210</v>
      </c>
      <c r="H114" s="7">
        <v>45869</v>
      </c>
      <c r="I114" t="str">
        <f>VLOOKUP(G114,Kostenstellen!$A$1:$C$17,2,0)</f>
        <v>Dev</v>
      </c>
    </row>
    <row r="115" spans="1:9" x14ac:dyDescent="0.2">
      <c r="A115">
        <v>5900</v>
      </c>
      <c r="B115" s="7">
        <v>45875</v>
      </c>
      <c r="C115" t="s">
        <v>218</v>
      </c>
      <c r="D115" t="s">
        <v>219</v>
      </c>
      <c r="E115">
        <v>450</v>
      </c>
      <c r="G115">
        <v>200</v>
      </c>
      <c r="I115" t="str">
        <f>VLOOKUP(G115,Kostenstellen!$A$1:$C$17,2,0)</f>
        <v>aqua</v>
      </c>
    </row>
    <row r="116" spans="1:9" x14ac:dyDescent="0.2">
      <c r="A116">
        <v>5900</v>
      </c>
      <c r="B116" s="7">
        <v>45884</v>
      </c>
      <c r="C116" t="s">
        <v>220</v>
      </c>
      <c r="D116">
        <v>202508007</v>
      </c>
      <c r="E116">
        <v>895.88</v>
      </c>
      <c r="G116">
        <v>201</v>
      </c>
      <c r="I116" t="str">
        <f>VLOOKUP(G116,Kostenstellen!$A$1:$C$17,2,0)</f>
        <v>indirekte</v>
      </c>
    </row>
    <row r="117" spans="1:9" x14ac:dyDescent="0.2">
      <c r="A117">
        <v>5900</v>
      </c>
      <c r="B117" s="7">
        <v>45901</v>
      </c>
      <c r="C117" t="s">
        <v>221</v>
      </c>
      <c r="D117" t="s">
        <v>222</v>
      </c>
      <c r="E117">
        <v>506</v>
      </c>
      <c r="G117">
        <v>235</v>
      </c>
      <c r="H117" s="7">
        <v>45870</v>
      </c>
      <c r="I117" t="str">
        <f>VLOOKUP(G117,Kostenstellen!$A$1:$C$17,2,0)</f>
        <v>Marketing</v>
      </c>
    </row>
    <row r="118" spans="1:9" x14ac:dyDescent="0.2">
      <c r="A118">
        <v>5900</v>
      </c>
      <c r="B118" s="7">
        <v>45901</v>
      </c>
      <c r="C118" t="s">
        <v>223</v>
      </c>
      <c r="D118" t="s">
        <v>224</v>
      </c>
      <c r="E118" s="6">
        <v>3300</v>
      </c>
      <c r="G118">
        <v>220</v>
      </c>
      <c r="H118" s="7">
        <v>45899</v>
      </c>
      <c r="I118" t="str">
        <f>VLOOKUP(G118,Kostenstellen!$A$1:$C$17,2,0)</f>
        <v>Product</v>
      </c>
    </row>
    <row r="119" spans="1:9" x14ac:dyDescent="0.2">
      <c r="A119">
        <v>5900</v>
      </c>
      <c r="B119" s="7">
        <v>45901</v>
      </c>
      <c r="C119" t="s">
        <v>225</v>
      </c>
      <c r="D119" t="s">
        <v>226</v>
      </c>
      <c r="E119" s="6">
        <v>2700</v>
      </c>
      <c r="G119">
        <v>220</v>
      </c>
      <c r="H119" s="7">
        <v>45870</v>
      </c>
      <c r="I119" t="str">
        <f>VLOOKUP(G119,Kostenstellen!$A$1:$C$17,2,0)</f>
        <v>Product</v>
      </c>
    </row>
    <row r="120" spans="1:9" x14ac:dyDescent="0.2">
      <c r="A120">
        <v>5900</v>
      </c>
      <c r="B120" s="7">
        <v>45901</v>
      </c>
      <c r="C120" t="s">
        <v>227</v>
      </c>
      <c r="D120" t="s">
        <v>228</v>
      </c>
      <c r="E120" s="6">
        <v>6300</v>
      </c>
      <c r="G120">
        <v>210</v>
      </c>
      <c r="H120" s="7">
        <v>45870</v>
      </c>
      <c r="I120" t="str">
        <f>VLOOKUP(G120,Kostenstellen!$A$1:$C$17,2,0)</f>
        <v>Dev</v>
      </c>
    </row>
    <row r="121" spans="1:9" x14ac:dyDescent="0.2">
      <c r="A121">
        <v>5900</v>
      </c>
      <c r="B121" s="7">
        <v>45901</v>
      </c>
      <c r="C121" t="s">
        <v>229</v>
      </c>
      <c r="D121" t="s">
        <v>230</v>
      </c>
      <c r="E121" s="6">
        <v>5000</v>
      </c>
      <c r="G121">
        <v>210</v>
      </c>
      <c r="H121" s="7">
        <v>45899</v>
      </c>
      <c r="I121" t="str">
        <f>VLOOKUP(G121,Kostenstellen!$A$1:$C$17,2,0)</f>
        <v>Dev</v>
      </c>
    </row>
    <row r="122" spans="1:9" x14ac:dyDescent="0.2">
      <c r="A122">
        <v>5900</v>
      </c>
      <c r="B122" s="7">
        <v>45901</v>
      </c>
      <c r="C122" t="s">
        <v>231</v>
      </c>
      <c r="D122" t="s">
        <v>232</v>
      </c>
      <c r="E122" s="6">
        <v>4130</v>
      </c>
      <c r="G122">
        <v>210</v>
      </c>
      <c r="H122" s="7">
        <v>45872</v>
      </c>
      <c r="I122" t="str">
        <f>VLOOKUP(G122,Kostenstellen!$A$1:$C$17,2,0)</f>
        <v>Dev</v>
      </c>
    </row>
    <row r="123" spans="1:9" x14ac:dyDescent="0.2">
      <c r="A123">
        <v>5900</v>
      </c>
      <c r="B123" s="7">
        <v>45901</v>
      </c>
      <c r="C123" t="s">
        <v>233</v>
      </c>
      <c r="D123" t="s">
        <v>234</v>
      </c>
      <c r="E123" s="6">
        <v>2900</v>
      </c>
      <c r="G123">
        <v>210</v>
      </c>
      <c r="H123" s="7">
        <v>45870</v>
      </c>
      <c r="I123" t="str">
        <f>VLOOKUP(G123,Kostenstellen!$A$1:$C$17,2,0)</f>
        <v>Dev</v>
      </c>
    </row>
    <row r="124" spans="1:9" x14ac:dyDescent="0.2">
      <c r="A124">
        <v>5900</v>
      </c>
      <c r="B124" s="7">
        <v>45901</v>
      </c>
      <c r="C124" t="s">
        <v>235</v>
      </c>
      <c r="D124" t="s">
        <v>236</v>
      </c>
      <c r="E124" s="6">
        <v>4000</v>
      </c>
      <c r="G124">
        <v>210</v>
      </c>
      <c r="H124" s="7">
        <v>45870</v>
      </c>
      <c r="I124" t="str">
        <f>VLOOKUP(G124,Kostenstellen!$A$1:$C$17,2,0)</f>
        <v>Dev</v>
      </c>
    </row>
    <row r="125" spans="1:9" x14ac:dyDescent="0.2">
      <c r="A125">
        <v>5900</v>
      </c>
      <c r="B125" s="7">
        <v>45901</v>
      </c>
      <c r="C125" t="s">
        <v>237</v>
      </c>
      <c r="D125" t="s">
        <v>236</v>
      </c>
      <c r="E125" s="6">
        <v>3500</v>
      </c>
      <c r="G125">
        <v>210</v>
      </c>
      <c r="H125" s="7">
        <v>45870</v>
      </c>
      <c r="I125" t="str">
        <f>VLOOKUP(G125,Kostenstellen!$A$1:$C$17,2,0)</f>
        <v>Dev</v>
      </c>
    </row>
    <row r="126" spans="1:9" x14ac:dyDescent="0.2">
      <c r="A126">
        <v>5900</v>
      </c>
      <c r="B126" s="7">
        <v>45901</v>
      </c>
      <c r="C126" t="s">
        <v>238</v>
      </c>
      <c r="D126" t="s">
        <v>239</v>
      </c>
      <c r="E126" s="6">
        <v>4500</v>
      </c>
      <c r="G126">
        <v>210</v>
      </c>
      <c r="H126" s="7">
        <v>45899</v>
      </c>
      <c r="I126" t="str">
        <f>VLOOKUP(G126,Kostenstellen!$A$1:$C$17,2,0)</f>
        <v>Dev</v>
      </c>
    </row>
    <row r="127" spans="1:9" x14ac:dyDescent="0.2">
      <c r="A127">
        <v>5900</v>
      </c>
      <c r="B127" s="7">
        <v>45901</v>
      </c>
      <c r="C127" t="s">
        <v>240</v>
      </c>
      <c r="D127" t="s">
        <v>241</v>
      </c>
      <c r="E127" s="6">
        <v>1200</v>
      </c>
      <c r="G127">
        <v>210</v>
      </c>
      <c r="H127" s="7">
        <v>45899</v>
      </c>
      <c r="I127" t="str">
        <f>VLOOKUP(G127,Kostenstellen!$A$1:$C$17,2,0)</f>
        <v>Dev</v>
      </c>
    </row>
    <row r="128" spans="1:9" x14ac:dyDescent="0.2">
      <c r="A128">
        <v>5900</v>
      </c>
      <c r="B128" s="7">
        <v>45901</v>
      </c>
      <c r="C128" t="s">
        <v>242</v>
      </c>
      <c r="D128" t="s">
        <v>243</v>
      </c>
      <c r="E128" s="6">
        <v>3864</v>
      </c>
      <c r="G128">
        <v>210</v>
      </c>
      <c r="H128" s="7">
        <v>45899</v>
      </c>
      <c r="I128" t="str">
        <f>VLOOKUP(G128,Kostenstellen!$A$1:$C$17,2,0)</f>
        <v>Dev</v>
      </c>
    </row>
    <row r="129" spans="1:9" x14ac:dyDescent="0.2">
      <c r="A129">
        <v>5900</v>
      </c>
      <c r="B129" s="7">
        <v>45901</v>
      </c>
      <c r="C129" t="s">
        <v>244</v>
      </c>
      <c r="D129" t="s">
        <v>245</v>
      </c>
      <c r="E129" s="6">
        <v>2800</v>
      </c>
      <c r="G129">
        <v>210</v>
      </c>
      <c r="H129" s="7">
        <v>45870</v>
      </c>
      <c r="I129" t="str">
        <f>VLOOKUP(G129,Kostenstellen!$A$1:$C$17,2,0)</f>
        <v>Dev</v>
      </c>
    </row>
    <row r="130" spans="1:9" x14ac:dyDescent="0.2">
      <c r="A130">
        <v>5900</v>
      </c>
      <c r="B130" s="7">
        <v>45901</v>
      </c>
      <c r="C130" t="s">
        <v>246</v>
      </c>
      <c r="D130" t="s">
        <v>247</v>
      </c>
      <c r="E130" s="6">
        <v>2039</v>
      </c>
      <c r="G130">
        <v>210</v>
      </c>
      <c r="H130" s="7">
        <v>45870</v>
      </c>
      <c r="I130" t="str">
        <f>VLOOKUP(G130,Kostenstellen!$A$1:$C$17,2,0)</f>
        <v>Dev</v>
      </c>
    </row>
    <row r="131" spans="1:9" x14ac:dyDescent="0.2">
      <c r="A131">
        <v>5900</v>
      </c>
      <c r="B131" s="7">
        <v>45901</v>
      </c>
      <c r="C131" t="s">
        <v>248</v>
      </c>
      <c r="D131" t="s">
        <v>249</v>
      </c>
      <c r="E131">
        <v>714</v>
      </c>
      <c r="G131">
        <v>210</v>
      </c>
      <c r="H131" s="7">
        <v>45870</v>
      </c>
      <c r="I131" t="str">
        <f>VLOOKUP(G131,Kostenstellen!$A$1:$C$17,2,0)</f>
        <v>Dev</v>
      </c>
    </row>
    <row r="132" spans="1:9" x14ac:dyDescent="0.2">
      <c r="A132">
        <v>5900</v>
      </c>
      <c r="B132" s="7">
        <v>45901</v>
      </c>
      <c r="C132" t="s">
        <v>250</v>
      </c>
      <c r="D132" t="s">
        <v>251</v>
      </c>
      <c r="E132" s="6">
        <v>2800</v>
      </c>
      <c r="G132">
        <v>210</v>
      </c>
      <c r="H132" s="7">
        <v>45899</v>
      </c>
      <c r="I132" t="str">
        <f>VLOOKUP(G132,Kostenstellen!$A$1:$C$17,2,0)</f>
        <v>Dev</v>
      </c>
    </row>
    <row r="133" spans="1:9" x14ac:dyDescent="0.2">
      <c r="A133">
        <v>5900</v>
      </c>
      <c r="B133" s="7">
        <v>45915</v>
      </c>
      <c r="C133" t="s">
        <v>252</v>
      </c>
      <c r="D133">
        <v>20250915015</v>
      </c>
      <c r="E133">
        <v>847.74</v>
      </c>
      <c r="G133">
        <v>201</v>
      </c>
      <c r="I133" t="str">
        <f>VLOOKUP(G133,Kostenstellen!$A$1:$C$17,2,0)</f>
        <v>indirekte</v>
      </c>
    </row>
    <row r="134" spans="1:9" x14ac:dyDescent="0.2">
      <c r="A134">
        <v>5900</v>
      </c>
      <c r="B134" s="7">
        <v>45915</v>
      </c>
      <c r="C134" t="s">
        <v>253</v>
      </c>
      <c r="D134" t="s">
        <v>254</v>
      </c>
      <c r="E134">
        <v>225</v>
      </c>
      <c r="G134">
        <v>230</v>
      </c>
      <c r="I134" t="str">
        <f>VLOOKUP(G134,Kostenstellen!$A$1:$C$17,2,0)</f>
        <v>Sales</v>
      </c>
    </row>
    <row r="135" spans="1:9" x14ac:dyDescent="0.2">
      <c r="A135">
        <v>5900</v>
      </c>
      <c r="B135" s="7">
        <v>45931</v>
      </c>
      <c r="C135" t="s">
        <v>255</v>
      </c>
      <c r="D135" t="s">
        <v>256</v>
      </c>
      <c r="E135" s="6">
        <v>2700</v>
      </c>
      <c r="G135">
        <v>220</v>
      </c>
      <c r="H135" s="7">
        <v>45901</v>
      </c>
      <c r="I135" t="str">
        <f>VLOOKUP(G135,Kostenstellen!$A$1:$C$17,2,0)</f>
        <v>Product</v>
      </c>
    </row>
    <row r="136" spans="1:9" x14ac:dyDescent="0.2">
      <c r="A136">
        <v>5900</v>
      </c>
      <c r="B136" s="7">
        <v>45931</v>
      </c>
      <c r="C136" t="s">
        <v>257</v>
      </c>
      <c r="D136" t="s">
        <v>258</v>
      </c>
      <c r="E136" s="6">
        <v>6300</v>
      </c>
      <c r="G136">
        <v>210</v>
      </c>
      <c r="H136" s="7">
        <v>45901</v>
      </c>
      <c r="I136" t="str">
        <f>VLOOKUP(G136,Kostenstellen!$A$1:$C$17,2,0)</f>
        <v>Dev</v>
      </c>
    </row>
    <row r="137" spans="1:9" x14ac:dyDescent="0.2">
      <c r="A137">
        <v>5900</v>
      </c>
      <c r="B137" s="7">
        <v>45931</v>
      </c>
      <c r="C137" t="s">
        <v>259</v>
      </c>
      <c r="D137" t="s">
        <v>260</v>
      </c>
      <c r="E137" s="6">
        <v>5000</v>
      </c>
      <c r="G137">
        <v>210</v>
      </c>
      <c r="H137" s="7">
        <v>45930</v>
      </c>
      <c r="I137" t="str">
        <f>VLOOKUP(G137,Kostenstellen!$A$1:$C$17,2,0)</f>
        <v>Dev</v>
      </c>
    </row>
    <row r="138" spans="1:9" x14ac:dyDescent="0.2">
      <c r="A138">
        <v>5900</v>
      </c>
      <c r="B138" s="7">
        <v>45931</v>
      </c>
      <c r="C138" t="s">
        <v>261</v>
      </c>
      <c r="D138" t="s">
        <v>262</v>
      </c>
      <c r="E138" s="6">
        <v>4200</v>
      </c>
      <c r="G138">
        <v>210</v>
      </c>
      <c r="H138" s="7">
        <v>45930</v>
      </c>
      <c r="I138" t="str">
        <f>VLOOKUP(G138,Kostenstellen!$A$1:$C$17,2,0)</f>
        <v>Dev</v>
      </c>
    </row>
    <row r="139" spans="1:9" x14ac:dyDescent="0.2">
      <c r="A139">
        <v>5900</v>
      </c>
      <c r="B139" s="7">
        <v>45931</v>
      </c>
      <c r="C139" t="s">
        <v>263</v>
      </c>
      <c r="D139" t="s">
        <v>264</v>
      </c>
      <c r="E139" s="6">
        <v>2900</v>
      </c>
      <c r="G139">
        <v>210</v>
      </c>
      <c r="H139" s="7">
        <v>45901</v>
      </c>
      <c r="I139" t="str">
        <f>VLOOKUP(G139,Kostenstellen!$A$1:$C$17,2,0)</f>
        <v>Dev</v>
      </c>
    </row>
    <row r="140" spans="1:9" x14ac:dyDescent="0.2">
      <c r="A140">
        <v>5900</v>
      </c>
      <c r="B140" s="7">
        <v>45931</v>
      </c>
      <c r="C140" t="s">
        <v>265</v>
      </c>
      <c r="D140" t="s">
        <v>266</v>
      </c>
      <c r="E140" s="6">
        <v>3500</v>
      </c>
      <c r="G140">
        <v>210</v>
      </c>
      <c r="H140" s="7">
        <v>45901</v>
      </c>
      <c r="I140" t="str">
        <f>VLOOKUP(G140,Kostenstellen!$A$1:$C$17,2,0)</f>
        <v>Dev</v>
      </c>
    </row>
    <row r="141" spans="1:9" x14ac:dyDescent="0.2">
      <c r="A141">
        <v>5900</v>
      </c>
      <c r="B141" s="7">
        <v>45931</v>
      </c>
      <c r="C141" t="s">
        <v>267</v>
      </c>
      <c r="D141" t="s">
        <v>266</v>
      </c>
      <c r="E141" s="6">
        <v>4000</v>
      </c>
      <c r="G141">
        <v>210</v>
      </c>
      <c r="H141" s="7">
        <v>45901</v>
      </c>
      <c r="I141" t="str">
        <f>VLOOKUP(G141,Kostenstellen!$A$1:$C$17,2,0)</f>
        <v>Dev</v>
      </c>
    </row>
    <row r="142" spans="1:9" x14ac:dyDescent="0.2">
      <c r="A142">
        <v>5900</v>
      </c>
      <c r="B142" s="7">
        <v>45931</v>
      </c>
      <c r="C142" t="s">
        <v>268</v>
      </c>
      <c r="D142" t="s">
        <v>269</v>
      </c>
      <c r="E142" s="6">
        <v>4500</v>
      </c>
      <c r="G142">
        <v>210</v>
      </c>
      <c r="H142" s="7">
        <v>45930</v>
      </c>
      <c r="I142" t="str">
        <f>VLOOKUP(G142,Kostenstellen!$A$1:$C$17,2,0)</f>
        <v>Dev</v>
      </c>
    </row>
    <row r="143" spans="1:9" x14ac:dyDescent="0.2">
      <c r="A143">
        <v>5900</v>
      </c>
      <c r="B143" s="7">
        <v>45931</v>
      </c>
      <c r="C143" t="s">
        <v>270</v>
      </c>
      <c r="D143" t="s">
        <v>271</v>
      </c>
      <c r="E143" s="6">
        <v>1500</v>
      </c>
      <c r="G143">
        <v>210</v>
      </c>
      <c r="H143" s="7">
        <v>45901</v>
      </c>
      <c r="I143" t="str">
        <f>VLOOKUP(G143,Kostenstellen!$A$1:$C$17,2,0)</f>
        <v>Dev</v>
      </c>
    </row>
    <row r="144" spans="1:9" x14ac:dyDescent="0.2">
      <c r="A144">
        <v>5900</v>
      </c>
      <c r="B144" s="7">
        <v>45931</v>
      </c>
      <c r="C144" t="s">
        <v>272</v>
      </c>
      <c r="D144" t="s">
        <v>273</v>
      </c>
      <c r="E144" s="6">
        <v>4048</v>
      </c>
      <c r="G144">
        <v>210</v>
      </c>
      <c r="H144" s="7">
        <v>45930</v>
      </c>
      <c r="I144" t="str">
        <f>VLOOKUP(G144,Kostenstellen!$A$1:$C$17,2,0)</f>
        <v>Dev</v>
      </c>
    </row>
    <row r="145" spans="1:9" x14ac:dyDescent="0.2">
      <c r="A145">
        <v>5900</v>
      </c>
      <c r="B145" s="7">
        <v>45931</v>
      </c>
      <c r="C145" t="s">
        <v>274</v>
      </c>
      <c r="D145" t="s">
        <v>275</v>
      </c>
      <c r="E145" s="6">
        <v>2800</v>
      </c>
      <c r="G145">
        <v>210</v>
      </c>
      <c r="H145" s="7">
        <v>45901</v>
      </c>
      <c r="I145" t="str">
        <f>VLOOKUP(G145,Kostenstellen!$A$1:$C$17,2,0)</f>
        <v>Dev</v>
      </c>
    </row>
    <row r="146" spans="1:9" x14ac:dyDescent="0.2">
      <c r="A146">
        <v>5900</v>
      </c>
      <c r="B146" s="7">
        <v>45931</v>
      </c>
      <c r="C146" t="s">
        <v>276</v>
      </c>
      <c r="D146" t="s">
        <v>277</v>
      </c>
      <c r="E146" s="6">
        <v>2011</v>
      </c>
      <c r="G146">
        <v>210</v>
      </c>
      <c r="H146" s="7">
        <v>45901</v>
      </c>
      <c r="I146" t="str">
        <f>VLOOKUP(G146,Kostenstellen!$A$1:$C$17,2,0)</f>
        <v>Dev</v>
      </c>
    </row>
    <row r="147" spans="1:9" x14ac:dyDescent="0.2">
      <c r="A147">
        <v>5900</v>
      </c>
      <c r="B147" s="7">
        <v>45931</v>
      </c>
      <c r="C147" t="s">
        <v>278</v>
      </c>
      <c r="D147" t="s">
        <v>279</v>
      </c>
      <c r="E147">
        <v>499</v>
      </c>
      <c r="G147">
        <v>210</v>
      </c>
      <c r="H147" s="7">
        <v>45901</v>
      </c>
      <c r="I147" t="str">
        <f>VLOOKUP(G147,Kostenstellen!$A$1:$C$17,2,0)</f>
        <v>Dev</v>
      </c>
    </row>
    <row r="148" spans="1:9" x14ac:dyDescent="0.2">
      <c r="A148">
        <v>5900</v>
      </c>
      <c r="B148" s="7">
        <v>45931</v>
      </c>
      <c r="C148" t="s">
        <v>280</v>
      </c>
      <c r="D148" t="s">
        <v>281</v>
      </c>
      <c r="E148" s="6">
        <v>2800</v>
      </c>
      <c r="G148">
        <v>210</v>
      </c>
      <c r="H148" s="7">
        <v>45930</v>
      </c>
      <c r="I148" t="str">
        <f>VLOOKUP(G148,Kostenstellen!$A$1:$C$17,2,0)</f>
        <v>Dev</v>
      </c>
    </row>
    <row r="149" spans="1:9" x14ac:dyDescent="0.2">
      <c r="A149">
        <v>5900</v>
      </c>
      <c r="B149" s="7">
        <v>45962</v>
      </c>
      <c r="C149" t="s">
        <v>282</v>
      </c>
      <c r="D149" t="s">
        <v>283</v>
      </c>
      <c r="E149">
        <v>962</v>
      </c>
      <c r="G149">
        <v>235</v>
      </c>
      <c r="H149" s="7">
        <v>45931</v>
      </c>
      <c r="I149" t="str">
        <f>VLOOKUP(G149,Kostenstellen!$A$1:$C$17,2,0)</f>
        <v>Marketing</v>
      </c>
    </row>
    <row r="150" spans="1:9" x14ac:dyDescent="0.2">
      <c r="A150">
        <v>5900</v>
      </c>
      <c r="B150" s="7">
        <v>45962</v>
      </c>
      <c r="C150" t="s">
        <v>284</v>
      </c>
      <c r="D150" t="s">
        <v>285</v>
      </c>
      <c r="E150" s="6">
        <v>2700</v>
      </c>
      <c r="G150">
        <v>220</v>
      </c>
      <c r="H150" s="7">
        <v>45931</v>
      </c>
      <c r="I150" t="str">
        <f>VLOOKUP(G150,Kostenstellen!$A$1:$C$17,2,0)</f>
        <v>Product</v>
      </c>
    </row>
    <row r="151" spans="1:9" x14ac:dyDescent="0.2">
      <c r="A151">
        <v>5900</v>
      </c>
      <c r="B151" s="7">
        <v>45962</v>
      </c>
      <c r="C151" t="s">
        <v>286</v>
      </c>
      <c r="D151" t="s">
        <v>287</v>
      </c>
      <c r="E151" s="6">
        <v>6300</v>
      </c>
      <c r="G151">
        <v>210</v>
      </c>
      <c r="H151" s="7">
        <v>45931</v>
      </c>
      <c r="I151" t="str">
        <f>VLOOKUP(G151,Kostenstellen!$A$1:$C$17,2,0)</f>
        <v>Dev</v>
      </c>
    </row>
    <row r="152" spans="1:9" x14ac:dyDescent="0.2">
      <c r="A152">
        <v>5900</v>
      </c>
      <c r="B152" s="7">
        <v>45962</v>
      </c>
      <c r="C152" t="s">
        <v>288</v>
      </c>
      <c r="D152" t="s">
        <v>289</v>
      </c>
      <c r="E152" s="6">
        <v>5000</v>
      </c>
      <c r="G152">
        <v>210</v>
      </c>
      <c r="H152" s="7">
        <v>45960</v>
      </c>
      <c r="I152" t="str">
        <f>VLOOKUP(G152,Kostenstellen!$A$1:$C$17,2,0)</f>
        <v>Dev</v>
      </c>
    </row>
    <row r="153" spans="1:9" x14ac:dyDescent="0.2">
      <c r="A153">
        <v>5900</v>
      </c>
      <c r="B153" s="7">
        <v>45962</v>
      </c>
      <c r="C153" t="s">
        <v>290</v>
      </c>
      <c r="D153" t="s">
        <v>291</v>
      </c>
      <c r="E153" s="6">
        <v>4200</v>
      </c>
      <c r="G153">
        <v>210</v>
      </c>
      <c r="H153" s="7">
        <v>45960</v>
      </c>
      <c r="I153" t="str">
        <f>VLOOKUP(G153,Kostenstellen!$A$1:$C$17,2,0)</f>
        <v>Dev</v>
      </c>
    </row>
    <row r="154" spans="1:9" x14ac:dyDescent="0.2">
      <c r="A154">
        <v>5900</v>
      </c>
      <c r="B154" s="7">
        <v>45962</v>
      </c>
      <c r="C154" t="s">
        <v>292</v>
      </c>
      <c r="D154" t="s">
        <v>293</v>
      </c>
      <c r="E154" s="6">
        <v>2900</v>
      </c>
      <c r="G154">
        <v>210</v>
      </c>
      <c r="H154" s="7">
        <v>45931</v>
      </c>
      <c r="I154" t="str">
        <f>VLOOKUP(G154,Kostenstellen!$A$1:$C$17,2,0)</f>
        <v>Dev</v>
      </c>
    </row>
    <row r="155" spans="1:9" x14ac:dyDescent="0.2">
      <c r="A155">
        <v>5900</v>
      </c>
      <c r="B155" s="7">
        <v>45962</v>
      </c>
      <c r="C155" t="s">
        <v>294</v>
      </c>
      <c r="D155" t="s">
        <v>295</v>
      </c>
      <c r="E155">
        <v>652.16999999999996</v>
      </c>
      <c r="G155">
        <v>210</v>
      </c>
      <c r="H155" s="7">
        <v>45931</v>
      </c>
      <c r="I155" t="str">
        <f>VLOOKUP(G155,Kostenstellen!$A$1:$C$17,2,0)</f>
        <v>Dev</v>
      </c>
    </row>
    <row r="156" spans="1:9" x14ac:dyDescent="0.2">
      <c r="A156">
        <v>5900</v>
      </c>
      <c r="B156" s="7">
        <v>45962</v>
      </c>
      <c r="C156" t="s">
        <v>296</v>
      </c>
      <c r="D156" t="s">
        <v>297</v>
      </c>
      <c r="E156" s="6">
        <v>4000</v>
      </c>
      <c r="G156">
        <v>210</v>
      </c>
      <c r="H156" s="7">
        <v>45931</v>
      </c>
      <c r="I156" t="str">
        <f>VLOOKUP(G156,Kostenstellen!$A$1:$C$17,2,0)</f>
        <v>Dev</v>
      </c>
    </row>
    <row r="157" spans="1:9" x14ac:dyDescent="0.2">
      <c r="A157">
        <v>5900</v>
      </c>
      <c r="B157" s="7">
        <v>45962</v>
      </c>
      <c r="C157" t="s">
        <v>298</v>
      </c>
      <c r="D157" t="s">
        <v>297</v>
      </c>
      <c r="E157" s="6">
        <v>3500</v>
      </c>
      <c r="G157">
        <v>210</v>
      </c>
      <c r="H157" s="7">
        <v>45931</v>
      </c>
      <c r="I157" t="str">
        <f>VLOOKUP(G157,Kostenstellen!$A$1:$C$17,2,0)</f>
        <v>Dev</v>
      </c>
    </row>
    <row r="158" spans="1:9" x14ac:dyDescent="0.2">
      <c r="A158">
        <v>5900</v>
      </c>
      <c r="B158" s="7">
        <v>45962</v>
      </c>
      <c r="C158" t="s">
        <v>299</v>
      </c>
      <c r="D158" t="s">
        <v>300</v>
      </c>
      <c r="E158" s="6">
        <v>4500</v>
      </c>
      <c r="G158">
        <v>210</v>
      </c>
      <c r="H158" s="7">
        <v>45960</v>
      </c>
      <c r="I158" t="str">
        <f>VLOOKUP(G158,Kostenstellen!$A$1:$C$17,2,0)</f>
        <v>Dev</v>
      </c>
    </row>
    <row r="159" spans="1:9" x14ac:dyDescent="0.2">
      <c r="A159">
        <v>5900</v>
      </c>
      <c r="B159" s="7">
        <v>45962</v>
      </c>
      <c r="C159" t="s">
        <v>301</v>
      </c>
      <c r="D159" t="s">
        <v>302</v>
      </c>
      <c r="E159" s="6">
        <v>1500</v>
      </c>
      <c r="G159">
        <v>210</v>
      </c>
      <c r="H159" s="7">
        <v>45961</v>
      </c>
      <c r="I159" t="str">
        <f>VLOOKUP(G159,Kostenstellen!$A$1:$C$17,2,0)</f>
        <v>Dev</v>
      </c>
    </row>
    <row r="160" spans="1:9" x14ac:dyDescent="0.2">
      <c r="A160">
        <v>5900</v>
      </c>
      <c r="B160" s="7">
        <v>45962</v>
      </c>
      <c r="C160" t="s">
        <v>303</v>
      </c>
      <c r="D160" t="s">
        <v>304</v>
      </c>
      <c r="E160" s="6">
        <v>2800</v>
      </c>
      <c r="G160">
        <v>210</v>
      </c>
      <c r="H160" s="7">
        <v>45931</v>
      </c>
      <c r="I160" t="str">
        <f>VLOOKUP(G160,Kostenstellen!$A$1:$C$17,2,0)</f>
        <v>Dev</v>
      </c>
    </row>
    <row r="161" spans="1:9" x14ac:dyDescent="0.2">
      <c r="A161">
        <v>5900</v>
      </c>
      <c r="B161" s="7">
        <v>45962</v>
      </c>
      <c r="C161" t="s">
        <v>305</v>
      </c>
      <c r="D161" t="s">
        <v>306</v>
      </c>
      <c r="E161">
        <v>146.84</v>
      </c>
      <c r="G161">
        <v>210</v>
      </c>
      <c r="H161" s="7">
        <v>45931</v>
      </c>
      <c r="I161" t="str">
        <f>VLOOKUP(G161,Kostenstellen!$A$1:$C$17,2,0)</f>
        <v>Dev</v>
      </c>
    </row>
    <row r="162" spans="1:9" x14ac:dyDescent="0.2">
      <c r="A162">
        <v>5900</v>
      </c>
      <c r="B162" s="7">
        <v>45962</v>
      </c>
      <c r="C162" t="s">
        <v>307</v>
      </c>
      <c r="D162" t="s">
        <v>308</v>
      </c>
      <c r="E162" s="6">
        <v>2800</v>
      </c>
      <c r="G162">
        <v>210</v>
      </c>
      <c r="H162" s="7">
        <v>45960</v>
      </c>
      <c r="I162" t="str">
        <f>VLOOKUP(G162,Kostenstellen!$A$1:$C$17,2,0)</f>
        <v>Dev</v>
      </c>
    </row>
    <row r="163" spans="1:9" x14ac:dyDescent="0.2">
      <c r="A163">
        <v>5900</v>
      </c>
      <c r="B163" s="7">
        <v>45991</v>
      </c>
      <c r="C163" t="s">
        <v>309</v>
      </c>
      <c r="D163" t="s">
        <v>310</v>
      </c>
      <c r="E163">
        <v>640</v>
      </c>
      <c r="G163">
        <v>210</v>
      </c>
      <c r="I163" t="str">
        <f>VLOOKUP(G163,Kostenstellen!$A$1:$C$17,2,0)</f>
        <v>Dev</v>
      </c>
    </row>
    <row r="164" spans="1:9" x14ac:dyDescent="0.2">
      <c r="A164">
        <v>5900</v>
      </c>
      <c r="B164" s="7">
        <v>45992</v>
      </c>
      <c r="C164" t="s">
        <v>311</v>
      </c>
      <c r="D164" t="s">
        <v>312</v>
      </c>
      <c r="E164" s="6">
        <v>1237.98</v>
      </c>
      <c r="G164">
        <v>210</v>
      </c>
      <c r="H164" s="7">
        <v>45962</v>
      </c>
      <c r="I164" t="str">
        <f>VLOOKUP(G164,Kostenstellen!$A$1:$C$17,2,0)</f>
        <v>Dev</v>
      </c>
    </row>
    <row r="165" spans="1:9" x14ac:dyDescent="0.2">
      <c r="A165">
        <v>5900</v>
      </c>
      <c r="B165" s="7">
        <v>45992</v>
      </c>
      <c r="C165" t="s">
        <v>313</v>
      </c>
      <c r="D165" t="s">
        <v>314</v>
      </c>
      <c r="E165" s="6">
        <v>2700</v>
      </c>
      <c r="G165">
        <v>220</v>
      </c>
      <c r="H165" s="7">
        <v>45962</v>
      </c>
      <c r="I165" t="str">
        <f>VLOOKUP(G165,Kostenstellen!$A$1:$C$17,2,0)</f>
        <v>Product</v>
      </c>
    </row>
    <row r="166" spans="1:9" x14ac:dyDescent="0.2">
      <c r="A166">
        <v>5900</v>
      </c>
      <c r="B166" s="7">
        <v>45992</v>
      </c>
      <c r="C166" t="s">
        <v>315</v>
      </c>
      <c r="D166" t="s">
        <v>316</v>
      </c>
      <c r="E166" s="6">
        <v>11573.1</v>
      </c>
      <c r="G166">
        <v>210</v>
      </c>
      <c r="H166" s="7">
        <v>45962</v>
      </c>
      <c r="I166" t="str">
        <f>VLOOKUP(G166,Kostenstellen!$A$1:$C$17,2,0)</f>
        <v>Dev</v>
      </c>
    </row>
    <row r="167" spans="1:9" x14ac:dyDescent="0.2">
      <c r="A167">
        <v>5900</v>
      </c>
      <c r="B167" s="7">
        <v>45992</v>
      </c>
      <c r="C167" t="s">
        <v>317</v>
      </c>
      <c r="D167" t="s">
        <v>318</v>
      </c>
      <c r="E167" s="6">
        <v>6885</v>
      </c>
      <c r="G167">
        <v>210</v>
      </c>
      <c r="H167" s="7">
        <v>45962</v>
      </c>
      <c r="I167" t="str">
        <f>VLOOKUP(G167,Kostenstellen!$A$1:$C$17,2,0)</f>
        <v>Dev</v>
      </c>
    </row>
    <row r="168" spans="1:9" x14ac:dyDescent="0.2">
      <c r="A168">
        <v>5900</v>
      </c>
      <c r="B168" s="7">
        <v>45992</v>
      </c>
      <c r="C168" t="s">
        <v>319</v>
      </c>
      <c r="D168" t="s">
        <v>320</v>
      </c>
      <c r="E168" s="6">
        <v>4200</v>
      </c>
      <c r="G168">
        <v>210</v>
      </c>
      <c r="H168" s="7">
        <v>45962</v>
      </c>
      <c r="I168" t="str">
        <f>VLOOKUP(G168,Kostenstellen!$A$1:$C$17,2,0)</f>
        <v>Dev</v>
      </c>
    </row>
    <row r="169" spans="1:9" x14ac:dyDescent="0.2">
      <c r="A169">
        <v>5900</v>
      </c>
      <c r="B169" s="7">
        <v>45992</v>
      </c>
      <c r="C169" t="s">
        <v>321</v>
      </c>
      <c r="D169" t="s">
        <v>322</v>
      </c>
      <c r="E169" s="6">
        <v>3045</v>
      </c>
      <c r="G169">
        <v>210</v>
      </c>
      <c r="H169" s="7">
        <v>45962</v>
      </c>
      <c r="I169" t="str">
        <f>VLOOKUP(G169,Kostenstellen!$A$1:$C$17,2,0)</f>
        <v>Dev</v>
      </c>
    </row>
    <row r="170" spans="1:9" x14ac:dyDescent="0.2">
      <c r="A170">
        <v>5900</v>
      </c>
      <c r="B170" s="7">
        <v>45992</v>
      </c>
      <c r="C170" t="s">
        <v>323</v>
      </c>
      <c r="D170" t="s">
        <v>324</v>
      </c>
      <c r="E170" s="6">
        <v>1000</v>
      </c>
      <c r="G170">
        <v>210</v>
      </c>
      <c r="H170" s="7">
        <v>45962</v>
      </c>
      <c r="I170" t="str">
        <f>VLOOKUP(G170,Kostenstellen!$A$1:$C$17,2,0)</f>
        <v>Dev</v>
      </c>
    </row>
    <row r="171" spans="1:9" x14ac:dyDescent="0.2">
      <c r="A171">
        <v>5900</v>
      </c>
      <c r="B171" s="7">
        <v>45992</v>
      </c>
      <c r="C171" t="s">
        <v>325</v>
      </c>
      <c r="D171" t="s">
        <v>326</v>
      </c>
      <c r="E171" s="6">
        <v>3675</v>
      </c>
      <c r="G171">
        <v>210</v>
      </c>
      <c r="H171" s="7">
        <v>45962</v>
      </c>
      <c r="I171" t="str">
        <f>VLOOKUP(G171,Kostenstellen!$A$1:$C$17,2,0)</f>
        <v>Dev</v>
      </c>
    </row>
    <row r="172" spans="1:9" x14ac:dyDescent="0.2">
      <c r="A172">
        <v>5900</v>
      </c>
      <c r="B172" s="7">
        <v>45992</v>
      </c>
      <c r="C172" t="s">
        <v>327</v>
      </c>
      <c r="D172" t="s">
        <v>326</v>
      </c>
      <c r="E172" s="6">
        <v>4200</v>
      </c>
      <c r="G172">
        <v>210</v>
      </c>
      <c r="H172" s="7">
        <v>45962</v>
      </c>
      <c r="I172" t="str">
        <f>VLOOKUP(G172,Kostenstellen!$A$1:$C$17,2,0)</f>
        <v>Dev</v>
      </c>
    </row>
    <row r="173" spans="1:9" x14ac:dyDescent="0.2">
      <c r="A173">
        <v>5900</v>
      </c>
      <c r="B173" s="7">
        <v>45992</v>
      </c>
      <c r="C173" t="s">
        <v>328</v>
      </c>
      <c r="D173" t="s">
        <v>329</v>
      </c>
      <c r="E173" s="6">
        <v>4750</v>
      </c>
      <c r="G173">
        <v>210</v>
      </c>
      <c r="H173" s="7">
        <v>45962</v>
      </c>
      <c r="I173" t="str">
        <f>VLOOKUP(G173,Kostenstellen!$A$1:$C$17,2,0)</f>
        <v>Dev</v>
      </c>
    </row>
    <row r="174" spans="1:9" x14ac:dyDescent="0.2">
      <c r="A174">
        <v>5900</v>
      </c>
      <c r="B174" s="7">
        <v>45992</v>
      </c>
      <c r="C174" t="s">
        <v>330</v>
      </c>
      <c r="D174" t="s">
        <v>331</v>
      </c>
      <c r="E174" s="6">
        <v>2280.75</v>
      </c>
      <c r="G174">
        <v>210</v>
      </c>
      <c r="H174" s="7">
        <v>45962</v>
      </c>
      <c r="I174" t="str">
        <f>VLOOKUP(G174,Kostenstellen!$A$1:$C$17,2,0)</f>
        <v>Dev</v>
      </c>
    </row>
    <row r="175" spans="1:9" x14ac:dyDescent="0.2">
      <c r="A175">
        <v>5900</v>
      </c>
      <c r="B175" s="7">
        <v>45992</v>
      </c>
      <c r="C175" t="s">
        <v>332</v>
      </c>
      <c r="D175" t="s">
        <v>333</v>
      </c>
      <c r="E175" s="6">
        <v>2940</v>
      </c>
      <c r="G175">
        <v>210</v>
      </c>
      <c r="H175" s="7">
        <v>45962</v>
      </c>
      <c r="I175" t="str">
        <f>VLOOKUP(G175,Kostenstellen!$A$1:$C$17,2,0)</f>
        <v>Dev</v>
      </c>
    </row>
    <row r="176" spans="1:9" x14ac:dyDescent="0.2">
      <c r="A176">
        <v>5900</v>
      </c>
      <c r="B176" s="7">
        <v>45992</v>
      </c>
      <c r="C176" t="s">
        <v>334</v>
      </c>
      <c r="D176" t="s">
        <v>335</v>
      </c>
      <c r="E176">
        <v>154.5</v>
      </c>
      <c r="G176">
        <v>210</v>
      </c>
      <c r="H176" s="7">
        <v>45962</v>
      </c>
      <c r="I176" t="str">
        <f>VLOOKUP(G176,Kostenstellen!$A$1:$C$17,2,0)</f>
        <v>Dev</v>
      </c>
    </row>
    <row r="177" spans="1:9" x14ac:dyDescent="0.2">
      <c r="A177">
        <v>5900</v>
      </c>
      <c r="B177" s="7">
        <v>45992</v>
      </c>
      <c r="C177" t="s">
        <v>336</v>
      </c>
      <c r="D177" t="s">
        <v>337</v>
      </c>
      <c r="E177" s="6">
        <v>2940</v>
      </c>
      <c r="G177">
        <v>210</v>
      </c>
      <c r="H177" s="7">
        <v>45962</v>
      </c>
      <c r="I177" t="str">
        <f>VLOOKUP(G177,Kostenstellen!$A$1:$C$17,2,0)</f>
        <v>Dev</v>
      </c>
    </row>
    <row r="178" spans="1:9" x14ac:dyDescent="0.2">
      <c r="A178">
        <v>5900</v>
      </c>
      <c r="B178" s="7">
        <v>46022</v>
      </c>
      <c r="C178" t="s">
        <v>338</v>
      </c>
      <c r="D178" t="s">
        <v>339</v>
      </c>
      <c r="E178">
        <v>720</v>
      </c>
      <c r="G178">
        <v>210</v>
      </c>
      <c r="I178" t="str">
        <f>VLOOKUP(G178,Kostenstellen!$A$1:$C$17,2,0)</f>
        <v>Dev</v>
      </c>
    </row>
    <row r="179" spans="1:9" x14ac:dyDescent="0.2">
      <c r="A179">
        <v>5900</v>
      </c>
      <c r="B179" s="7">
        <v>46023</v>
      </c>
      <c r="C179" t="s">
        <v>340</v>
      </c>
      <c r="D179" t="s">
        <v>341</v>
      </c>
      <c r="E179" s="6">
        <v>2700</v>
      </c>
      <c r="G179">
        <v>220</v>
      </c>
      <c r="H179" s="7">
        <v>45992</v>
      </c>
      <c r="I179" t="str">
        <f>VLOOKUP(G179,Kostenstellen!$A$1:$C$17,2,0)</f>
        <v>Product</v>
      </c>
    </row>
    <row r="180" spans="1:9" x14ac:dyDescent="0.2">
      <c r="A180">
        <v>5900</v>
      </c>
      <c r="B180" s="7">
        <v>46023</v>
      </c>
      <c r="C180" t="s">
        <v>342</v>
      </c>
      <c r="D180" t="s">
        <v>343</v>
      </c>
      <c r="E180" s="6">
        <v>4200</v>
      </c>
      <c r="G180">
        <v>210</v>
      </c>
      <c r="H180" s="7">
        <v>45992</v>
      </c>
      <c r="I180" t="str">
        <f>VLOOKUP(G180,Kostenstellen!$A$1:$C$17,2,0)</f>
        <v>Dev</v>
      </c>
    </row>
    <row r="181" spans="1:9" x14ac:dyDescent="0.2">
      <c r="A181">
        <v>5900</v>
      </c>
      <c r="B181" s="7">
        <v>46023</v>
      </c>
      <c r="C181" t="s">
        <v>344</v>
      </c>
      <c r="D181" t="s">
        <v>345</v>
      </c>
      <c r="E181" s="6">
        <v>1000</v>
      </c>
      <c r="G181">
        <v>210</v>
      </c>
      <c r="H181" s="7">
        <v>45992</v>
      </c>
      <c r="I181" t="str">
        <f>VLOOKUP(G181,Kostenstellen!$A$1:$C$17,2,0)</f>
        <v>Dev</v>
      </c>
    </row>
    <row r="182" spans="1:9" x14ac:dyDescent="0.2">
      <c r="A182">
        <v>5901</v>
      </c>
      <c r="B182" s="7">
        <v>45953</v>
      </c>
      <c r="C182" t="s">
        <v>346</v>
      </c>
      <c r="D182" s="7">
        <v>45931</v>
      </c>
      <c r="E182" s="6">
        <v>36400</v>
      </c>
      <c r="G182">
        <v>201</v>
      </c>
      <c r="I182" t="str">
        <f>VLOOKUP(G182,Kostenstellen!$A$1:$C$17,2,0)</f>
        <v>indirekte</v>
      </c>
    </row>
    <row r="183" spans="1:9" x14ac:dyDescent="0.2">
      <c r="A183">
        <v>5923</v>
      </c>
      <c r="B183" s="7">
        <v>45664</v>
      </c>
      <c r="C183" t="s">
        <v>347</v>
      </c>
      <c r="D183" t="s">
        <v>348</v>
      </c>
      <c r="E183" s="6">
        <v>1113.75</v>
      </c>
      <c r="G183">
        <v>240</v>
      </c>
      <c r="I183" t="str">
        <f>VLOOKUP(G183,Kostenstellen!$A$1:$C$17,2,0)</f>
        <v>Ranorex</v>
      </c>
    </row>
    <row r="184" spans="1:9" x14ac:dyDescent="0.2">
      <c r="A184">
        <v>5923</v>
      </c>
      <c r="B184" s="7">
        <v>45665</v>
      </c>
      <c r="C184" t="s">
        <v>349</v>
      </c>
      <c r="D184" t="s">
        <v>350</v>
      </c>
      <c r="E184" s="6">
        <v>11756.24</v>
      </c>
      <c r="G184">
        <v>240</v>
      </c>
      <c r="I184" t="str">
        <f>VLOOKUP(G184,Kostenstellen!$A$1:$C$17,2,0)</f>
        <v>Ranorex</v>
      </c>
    </row>
    <row r="185" spans="1:9" x14ac:dyDescent="0.2">
      <c r="A185">
        <v>5923</v>
      </c>
      <c r="B185" s="7">
        <v>45688</v>
      </c>
      <c r="C185" t="s">
        <v>351</v>
      </c>
      <c r="D185" t="s">
        <v>352</v>
      </c>
      <c r="E185" s="6">
        <v>2227.5</v>
      </c>
      <c r="G185">
        <v>240</v>
      </c>
      <c r="I185" t="str">
        <f>VLOOKUP(G185,Kostenstellen!$A$1:$C$17,2,0)</f>
        <v>Ranorex</v>
      </c>
    </row>
    <row r="186" spans="1:9" x14ac:dyDescent="0.2">
      <c r="A186">
        <v>5923</v>
      </c>
      <c r="B186" s="7">
        <v>45727</v>
      </c>
      <c r="C186" t="s">
        <v>353</v>
      </c>
      <c r="D186" t="s">
        <v>354</v>
      </c>
      <c r="E186" s="6">
        <v>10890</v>
      </c>
      <c r="G186">
        <v>240</v>
      </c>
      <c r="I186" t="str">
        <f>VLOOKUP(G186,Kostenstellen!$A$1:$C$17,2,0)</f>
        <v>Ranorex</v>
      </c>
    </row>
    <row r="187" spans="1:9" x14ac:dyDescent="0.2">
      <c r="A187">
        <v>5923</v>
      </c>
      <c r="B187" s="7">
        <v>45736</v>
      </c>
      <c r="C187" t="s">
        <v>355</v>
      </c>
      <c r="D187" t="s">
        <v>356</v>
      </c>
      <c r="E187" s="6">
        <v>3712.5</v>
      </c>
      <c r="G187">
        <v>240</v>
      </c>
      <c r="I187" t="str">
        <f>VLOOKUP(G187,Kostenstellen!$A$1:$C$17,2,0)</f>
        <v>Ranorex</v>
      </c>
    </row>
    <row r="188" spans="1:9" x14ac:dyDescent="0.2">
      <c r="A188">
        <v>5923</v>
      </c>
      <c r="B188" s="7">
        <v>45741</v>
      </c>
      <c r="C188" t="s">
        <v>357</v>
      </c>
      <c r="D188" t="s">
        <v>358</v>
      </c>
      <c r="E188" s="6">
        <v>2722.5</v>
      </c>
      <c r="G188">
        <v>240</v>
      </c>
      <c r="I188" t="str">
        <f>VLOOKUP(G188,Kostenstellen!$A$1:$C$17,2,0)</f>
        <v>Ranorex</v>
      </c>
    </row>
    <row r="189" spans="1:9" x14ac:dyDescent="0.2">
      <c r="A189">
        <v>5923</v>
      </c>
      <c r="B189" s="7">
        <v>45742</v>
      </c>
      <c r="C189" t="s">
        <v>359</v>
      </c>
      <c r="D189" t="s">
        <v>360</v>
      </c>
      <c r="E189" s="6">
        <v>6682.5</v>
      </c>
      <c r="G189">
        <v>240</v>
      </c>
      <c r="I189" t="str">
        <f>VLOOKUP(G189,Kostenstellen!$A$1:$C$17,2,0)</f>
        <v>Ranorex</v>
      </c>
    </row>
    <row r="190" spans="1:9" x14ac:dyDescent="0.2">
      <c r="A190">
        <v>5923</v>
      </c>
      <c r="B190" s="7">
        <v>45743</v>
      </c>
      <c r="C190" t="s">
        <v>361</v>
      </c>
      <c r="D190" t="s">
        <v>362</v>
      </c>
      <c r="E190" s="6">
        <v>6435</v>
      </c>
      <c r="G190">
        <v>240</v>
      </c>
      <c r="I190" t="str">
        <f>VLOOKUP(G190,Kostenstellen!$A$1:$C$17,2,0)</f>
        <v>Ranorex</v>
      </c>
    </row>
    <row r="191" spans="1:9" x14ac:dyDescent="0.2">
      <c r="A191">
        <v>5923</v>
      </c>
      <c r="B191" s="7">
        <v>45743</v>
      </c>
      <c r="C191" t="s">
        <v>363</v>
      </c>
      <c r="D191" t="s">
        <v>364</v>
      </c>
      <c r="E191" s="6">
        <v>3892.52</v>
      </c>
      <c r="G191">
        <v>240</v>
      </c>
      <c r="I191" t="str">
        <f>VLOOKUP(G191,Kostenstellen!$A$1:$C$17,2,0)</f>
        <v>Ranorex</v>
      </c>
    </row>
    <row r="192" spans="1:9" x14ac:dyDescent="0.2">
      <c r="A192">
        <v>5923</v>
      </c>
      <c r="B192" s="7">
        <v>45749</v>
      </c>
      <c r="C192" t="s">
        <v>365</v>
      </c>
      <c r="D192" t="s">
        <v>366</v>
      </c>
      <c r="E192" s="6">
        <v>1237.5</v>
      </c>
      <c r="G192">
        <v>240</v>
      </c>
      <c r="I192" t="str">
        <f>VLOOKUP(G192,Kostenstellen!$A$1:$C$17,2,0)</f>
        <v>Ranorex</v>
      </c>
    </row>
    <row r="193" spans="1:9" x14ac:dyDescent="0.2">
      <c r="A193">
        <v>6020</v>
      </c>
      <c r="B193" s="7">
        <v>45688</v>
      </c>
      <c r="C193" t="s">
        <v>367</v>
      </c>
      <c r="D193">
        <v>202501</v>
      </c>
      <c r="E193">
        <v>227.24</v>
      </c>
      <c r="G193">
        <v>2001</v>
      </c>
      <c r="I193" t="str">
        <f>VLOOKUP(G193,Kostenstellen!$A$1:$C$17,2,0)</f>
        <v>Koch Martin</v>
      </c>
    </row>
    <row r="194" spans="1:9" x14ac:dyDescent="0.2">
      <c r="A194">
        <v>6020</v>
      </c>
      <c r="B194" s="7">
        <v>45688</v>
      </c>
      <c r="C194" t="s">
        <v>368</v>
      </c>
      <c r="D194">
        <v>202501</v>
      </c>
      <c r="E194" s="6">
        <v>6666.67</v>
      </c>
      <c r="G194">
        <v>2001</v>
      </c>
      <c r="I194" t="str">
        <f>VLOOKUP(G194,Kostenstellen!$A$1:$C$17,2,0)</f>
        <v>Koch Martin</v>
      </c>
    </row>
    <row r="195" spans="1:9" x14ac:dyDescent="0.2">
      <c r="A195">
        <v>6020</v>
      </c>
      <c r="B195" s="7">
        <v>45688</v>
      </c>
      <c r="C195" t="s">
        <v>367</v>
      </c>
      <c r="D195">
        <v>202501</v>
      </c>
      <c r="E195">
        <v>230</v>
      </c>
      <c r="G195">
        <v>2011</v>
      </c>
      <c r="I195" t="str">
        <f>VLOOKUP(G195,Kostenstellen!$A$1:$C$17,2,0)</f>
        <v>Elsner</v>
      </c>
    </row>
    <row r="196" spans="1:9" x14ac:dyDescent="0.2">
      <c r="A196">
        <v>6020</v>
      </c>
      <c r="B196" s="7">
        <v>45688</v>
      </c>
      <c r="C196" t="s">
        <v>368</v>
      </c>
      <c r="D196">
        <v>202501</v>
      </c>
      <c r="E196" s="6">
        <v>10000</v>
      </c>
      <c r="G196">
        <v>2011</v>
      </c>
      <c r="I196" t="str">
        <f>VLOOKUP(G196,Kostenstellen!$A$1:$C$17,2,0)</f>
        <v>Elsner</v>
      </c>
    </row>
    <row r="197" spans="1:9" x14ac:dyDescent="0.2">
      <c r="A197">
        <v>6020</v>
      </c>
      <c r="B197" s="7">
        <v>45688</v>
      </c>
      <c r="C197" t="s">
        <v>368</v>
      </c>
      <c r="D197">
        <v>202501</v>
      </c>
      <c r="E197" s="6">
        <v>3150</v>
      </c>
      <c r="G197">
        <v>2012</v>
      </c>
      <c r="I197" t="str">
        <f>VLOOKUP(G197,Kostenstellen!$A$1:$C$17,2,0)</f>
        <v>Weingartz</v>
      </c>
    </row>
    <row r="198" spans="1:9" x14ac:dyDescent="0.2">
      <c r="A198">
        <v>6020</v>
      </c>
      <c r="B198" s="7">
        <v>45688</v>
      </c>
      <c r="C198" t="s">
        <v>368</v>
      </c>
      <c r="D198">
        <v>202501</v>
      </c>
      <c r="E198" s="6">
        <v>3875</v>
      </c>
      <c r="G198">
        <v>2014</v>
      </c>
      <c r="I198" t="str">
        <f>VLOOKUP(G198,Kostenstellen!$A$1:$C$17,2,0)</f>
        <v>Buzik</v>
      </c>
    </row>
    <row r="199" spans="1:9" x14ac:dyDescent="0.2">
      <c r="A199">
        <v>6020</v>
      </c>
      <c r="B199" s="7">
        <v>45688</v>
      </c>
      <c r="C199" t="s">
        <v>368</v>
      </c>
      <c r="D199">
        <v>202501</v>
      </c>
      <c r="E199" s="6">
        <v>3250</v>
      </c>
      <c r="G199">
        <v>2015</v>
      </c>
      <c r="I199" t="str">
        <f>VLOOKUP(G199,Kostenstellen!$A$1:$C$17,2,0)</f>
        <v>McDade</v>
      </c>
    </row>
    <row r="200" spans="1:9" x14ac:dyDescent="0.2">
      <c r="A200">
        <v>6020</v>
      </c>
      <c r="B200" s="7">
        <v>45688</v>
      </c>
      <c r="C200" t="s">
        <v>368</v>
      </c>
      <c r="D200">
        <v>202501</v>
      </c>
      <c r="E200" s="6">
        <v>6416.67</v>
      </c>
      <c r="G200">
        <v>2017</v>
      </c>
      <c r="I200" t="str">
        <f>VLOOKUP(G200,Kostenstellen!$A$1:$C$17,2,0)</f>
        <v>Hartmann</v>
      </c>
    </row>
    <row r="201" spans="1:9" x14ac:dyDescent="0.2">
      <c r="A201">
        <v>6020</v>
      </c>
      <c r="B201" s="7">
        <v>45688</v>
      </c>
      <c r="C201" t="s">
        <v>368</v>
      </c>
      <c r="D201">
        <v>202501</v>
      </c>
      <c r="E201" s="6">
        <v>4166.67</v>
      </c>
      <c r="G201">
        <v>2018</v>
      </c>
      <c r="I201" t="str">
        <f>VLOOKUP(G201,Kostenstellen!$A$1:$C$17,2,0)</f>
        <v>Ali Lara</v>
      </c>
    </row>
    <row r="202" spans="1:9" x14ac:dyDescent="0.2">
      <c r="A202">
        <v>6020</v>
      </c>
      <c r="B202" s="7">
        <v>45716</v>
      </c>
      <c r="C202" t="s">
        <v>367</v>
      </c>
      <c r="D202">
        <v>202502</v>
      </c>
      <c r="E202">
        <v>230.92</v>
      </c>
      <c r="G202">
        <v>2001</v>
      </c>
      <c r="I202" t="str">
        <f>VLOOKUP(G202,Kostenstellen!$A$1:$C$17,2,0)</f>
        <v>Koch Martin</v>
      </c>
    </row>
    <row r="203" spans="1:9" x14ac:dyDescent="0.2">
      <c r="A203">
        <v>6020</v>
      </c>
      <c r="B203" s="7">
        <v>45716</v>
      </c>
      <c r="C203" t="s">
        <v>368</v>
      </c>
      <c r="D203">
        <v>202502</v>
      </c>
      <c r="E203" s="6">
        <v>6666.67</v>
      </c>
      <c r="G203">
        <v>2001</v>
      </c>
      <c r="I203" t="str">
        <f>VLOOKUP(G203,Kostenstellen!$A$1:$C$17,2,0)</f>
        <v>Koch Martin</v>
      </c>
    </row>
    <row r="204" spans="1:9" x14ac:dyDescent="0.2">
      <c r="A204">
        <v>6020</v>
      </c>
      <c r="B204" s="7">
        <v>45716</v>
      </c>
      <c r="C204" t="s">
        <v>367</v>
      </c>
      <c r="D204">
        <v>202502</v>
      </c>
      <c r="E204">
        <v>230</v>
      </c>
      <c r="G204">
        <v>2011</v>
      </c>
      <c r="I204" t="str">
        <f>VLOOKUP(G204,Kostenstellen!$A$1:$C$17,2,0)</f>
        <v>Elsner</v>
      </c>
    </row>
    <row r="205" spans="1:9" x14ac:dyDescent="0.2">
      <c r="A205">
        <v>6020</v>
      </c>
      <c r="B205" s="7">
        <v>45716</v>
      </c>
      <c r="C205" t="s">
        <v>368</v>
      </c>
      <c r="D205">
        <v>202502</v>
      </c>
      <c r="E205" s="6">
        <v>10000</v>
      </c>
      <c r="G205">
        <v>2011</v>
      </c>
      <c r="I205" t="str">
        <f>VLOOKUP(G205,Kostenstellen!$A$1:$C$17,2,0)</f>
        <v>Elsner</v>
      </c>
    </row>
    <row r="206" spans="1:9" x14ac:dyDescent="0.2">
      <c r="A206">
        <v>6020</v>
      </c>
      <c r="B206" s="7">
        <v>45716</v>
      </c>
      <c r="C206" t="s">
        <v>368</v>
      </c>
      <c r="D206">
        <v>202502</v>
      </c>
      <c r="E206" s="6">
        <v>3150</v>
      </c>
      <c r="G206">
        <v>2012</v>
      </c>
      <c r="I206" t="str">
        <f>VLOOKUP(G206,Kostenstellen!$A$1:$C$17,2,0)</f>
        <v>Weingartz</v>
      </c>
    </row>
    <row r="207" spans="1:9" x14ac:dyDescent="0.2">
      <c r="A207">
        <v>6020</v>
      </c>
      <c r="B207" s="7">
        <v>45716</v>
      </c>
      <c r="C207" t="s">
        <v>368</v>
      </c>
      <c r="D207">
        <v>202502</v>
      </c>
      <c r="E207" s="6">
        <v>3875</v>
      </c>
      <c r="G207">
        <v>2014</v>
      </c>
      <c r="I207" t="str">
        <f>VLOOKUP(G207,Kostenstellen!$A$1:$C$17,2,0)</f>
        <v>Buzik</v>
      </c>
    </row>
    <row r="208" spans="1:9" x14ac:dyDescent="0.2">
      <c r="A208">
        <v>6020</v>
      </c>
      <c r="B208" s="7">
        <v>45716</v>
      </c>
      <c r="C208" t="s">
        <v>368</v>
      </c>
      <c r="D208">
        <v>202502</v>
      </c>
      <c r="E208" s="6">
        <v>3250</v>
      </c>
      <c r="G208">
        <v>2015</v>
      </c>
      <c r="I208" t="str">
        <f>VLOOKUP(G208,Kostenstellen!$A$1:$C$17,2,0)</f>
        <v>McDade</v>
      </c>
    </row>
    <row r="209" spans="1:9" x14ac:dyDescent="0.2">
      <c r="A209">
        <v>6020</v>
      </c>
      <c r="B209" s="7">
        <v>45716</v>
      </c>
      <c r="C209" t="s">
        <v>368</v>
      </c>
      <c r="D209">
        <v>202502</v>
      </c>
      <c r="E209" s="6">
        <v>6416.67</v>
      </c>
      <c r="G209">
        <v>2017</v>
      </c>
      <c r="I209" t="str">
        <f>VLOOKUP(G209,Kostenstellen!$A$1:$C$17,2,0)</f>
        <v>Hartmann</v>
      </c>
    </row>
    <row r="210" spans="1:9" x14ac:dyDescent="0.2">
      <c r="A210">
        <v>6020</v>
      </c>
      <c r="B210" s="7">
        <v>45716</v>
      </c>
      <c r="C210" t="s">
        <v>368</v>
      </c>
      <c r="D210">
        <v>202502</v>
      </c>
      <c r="E210" s="6">
        <v>4166.67</v>
      </c>
      <c r="G210">
        <v>2018</v>
      </c>
      <c r="I210" t="str">
        <f>VLOOKUP(G210,Kostenstellen!$A$1:$C$17,2,0)</f>
        <v>Ali Lara</v>
      </c>
    </row>
    <row r="211" spans="1:9" x14ac:dyDescent="0.2">
      <c r="A211">
        <v>6020</v>
      </c>
      <c r="B211" s="7">
        <v>45747</v>
      </c>
      <c r="C211" t="s">
        <v>367</v>
      </c>
      <c r="D211">
        <v>202503</v>
      </c>
      <c r="E211">
        <v>230.92</v>
      </c>
      <c r="G211">
        <v>2001</v>
      </c>
      <c r="I211" t="str">
        <f>VLOOKUP(G211,Kostenstellen!$A$1:$C$17,2,0)</f>
        <v>Koch Martin</v>
      </c>
    </row>
    <row r="212" spans="1:9" x14ac:dyDescent="0.2">
      <c r="A212">
        <v>6020</v>
      </c>
      <c r="B212" s="7">
        <v>45747</v>
      </c>
      <c r="C212" t="s">
        <v>368</v>
      </c>
      <c r="D212">
        <v>202503</v>
      </c>
      <c r="E212" s="6">
        <v>6666.67</v>
      </c>
      <c r="G212">
        <v>2001</v>
      </c>
      <c r="I212" t="str">
        <f>VLOOKUP(G212,Kostenstellen!$A$1:$C$17,2,0)</f>
        <v>Koch Martin</v>
      </c>
    </row>
    <row r="213" spans="1:9" x14ac:dyDescent="0.2">
      <c r="A213">
        <v>6020</v>
      </c>
      <c r="B213" s="7">
        <v>45747</v>
      </c>
      <c r="C213" t="s">
        <v>367</v>
      </c>
      <c r="D213">
        <v>202503</v>
      </c>
      <c r="E213">
        <v>321</v>
      </c>
      <c r="G213">
        <v>2011</v>
      </c>
      <c r="I213" t="str">
        <f>VLOOKUP(G213,Kostenstellen!$A$1:$C$17,2,0)</f>
        <v>Elsner</v>
      </c>
    </row>
    <row r="214" spans="1:9" x14ac:dyDescent="0.2">
      <c r="A214">
        <v>6020</v>
      </c>
      <c r="B214" s="7">
        <v>45747</v>
      </c>
      <c r="C214" t="s">
        <v>368</v>
      </c>
      <c r="D214">
        <v>202503</v>
      </c>
      <c r="E214" s="6">
        <v>10000</v>
      </c>
      <c r="G214">
        <v>2011</v>
      </c>
      <c r="I214" t="str">
        <f>VLOOKUP(G214,Kostenstellen!$A$1:$C$17,2,0)</f>
        <v>Elsner</v>
      </c>
    </row>
    <row r="215" spans="1:9" x14ac:dyDescent="0.2">
      <c r="A215">
        <v>6020</v>
      </c>
      <c r="B215" s="7">
        <v>45747</v>
      </c>
      <c r="C215" t="s">
        <v>368</v>
      </c>
      <c r="D215">
        <v>202503</v>
      </c>
      <c r="E215" s="6">
        <v>3150</v>
      </c>
      <c r="G215">
        <v>2012</v>
      </c>
      <c r="I215" t="str">
        <f>VLOOKUP(G215,Kostenstellen!$A$1:$C$17,2,0)</f>
        <v>Weingartz</v>
      </c>
    </row>
    <row r="216" spans="1:9" x14ac:dyDescent="0.2">
      <c r="A216">
        <v>6020</v>
      </c>
      <c r="B216" s="7">
        <v>45747</v>
      </c>
      <c r="C216" t="s">
        <v>368</v>
      </c>
      <c r="D216">
        <v>202503</v>
      </c>
      <c r="E216" s="6">
        <v>3875</v>
      </c>
      <c r="G216">
        <v>2014</v>
      </c>
      <c r="I216" t="str">
        <f>VLOOKUP(G216,Kostenstellen!$A$1:$C$17,2,0)</f>
        <v>Buzik</v>
      </c>
    </row>
    <row r="217" spans="1:9" x14ac:dyDescent="0.2">
      <c r="A217">
        <v>6020</v>
      </c>
      <c r="B217" s="7">
        <v>45747</v>
      </c>
      <c r="C217" t="s">
        <v>368</v>
      </c>
      <c r="D217">
        <v>202503</v>
      </c>
      <c r="E217" s="6">
        <v>3250</v>
      </c>
      <c r="G217">
        <v>2015</v>
      </c>
      <c r="I217" t="str">
        <f>VLOOKUP(G217,Kostenstellen!$A$1:$C$17,2,0)</f>
        <v>McDade</v>
      </c>
    </row>
    <row r="218" spans="1:9" x14ac:dyDescent="0.2">
      <c r="A218">
        <v>6020</v>
      </c>
      <c r="B218" s="7">
        <v>45747</v>
      </c>
      <c r="C218" t="s">
        <v>368</v>
      </c>
      <c r="D218">
        <v>202503</v>
      </c>
      <c r="E218" s="6">
        <v>6416.67</v>
      </c>
      <c r="G218">
        <v>2017</v>
      </c>
      <c r="I218" t="str">
        <f>VLOOKUP(G218,Kostenstellen!$A$1:$C$17,2,0)</f>
        <v>Hartmann</v>
      </c>
    </row>
    <row r="219" spans="1:9" x14ac:dyDescent="0.2">
      <c r="A219">
        <v>6020</v>
      </c>
      <c r="B219" s="7">
        <v>45747</v>
      </c>
      <c r="C219" t="s">
        <v>368</v>
      </c>
      <c r="D219">
        <v>202503</v>
      </c>
      <c r="E219" s="6">
        <v>4166.67</v>
      </c>
      <c r="G219">
        <v>2018</v>
      </c>
      <c r="I219" t="str">
        <f>VLOOKUP(G219,Kostenstellen!$A$1:$C$17,2,0)</f>
        <v>Ali Lara</v>
      </c>
    </row>
    <row r="220" spans="1:9" x14ac:dyDescent="0.2">
      <c r="A220">
        <v>6020</v>
      </c>
      <c r="B220" s="7">
        <v>45777</v>
      </c>
      <c r="C220" t="s">
        <v>367</v>
      </c>
      <c r="D220">
        <v>202504</v>
      </c>
      <c r="E220">
        <v>232.76</v>
      </c>
      <c r="G220">
        <v>2001</v>
      </c>
      <c r="I220" t="str">
        <f>VLOOKUP(G220,Kostenstellen!$A$1:$C$17,2,0)</f>
        <v>Koch Martin</v>
      </c>
    </row>
    <row r="221" spans="1:9" x14ac:dyDescent="0.2">
      <c r="A221">
        <v>6020</v>
      </c>
      <c r="B221" s="7">
        <v>45777</v>
      </c>
      <c r="C221" t="s">
        <v>368</v>
      </c>
      <c r="D221">
        <v>202504</v>
      </c>
      <c r="E221" s="6">
        <v>6666.67</v>
      </c>
      <c r="G221">
        <v>2001</v>
      </c>
      <c r="I221" t="str">
        <f>VLOOKUP(G221,Kostenstellen!$A$1:$C$17,2,0)</f>
        <v>Koch Martin</v>
      </c>
    </row>
    <row r="222" spans="1:9" x14ac:dyDescent="0.2">
      <c r="A222">
        <v>6020</v>
      </c>
      <c r="B222" s="7">
        <v>45777</v>
      </c>
      <c r="C222" t="s">
        <v>367</v>
      </c>
      <c r="D222">
        <v>202504</v>
      </c>
      <c r="E222">
        <v>321</v>
      </c>
      <c r="G222">
        <v>2011</v>
      </c>
      <c r="I222" t="str">
        <f>VLOOKUP(G222,Kostenstellen!$A$1:$C$17,2,0)</f>
        <v>Elsner</v>
      </c>
    </row>
    <row r="223" spans="1:9" x14ac:dyDescent="0.2">
      <c r="A223">
        <v>6020</v>
      </c>
      <c r="B223" s="7">
        <v>45777</v>
      </c>
      <c r="C223" t="s">
        <v>368</v>
      </c>
      <c r="D223">
        <v>202504</v>
      </c>
      <c r="E223" s="6">
        <v>10000</v>
      </c>
      <c r="G223">
        <v>2011</v>
      </c>
      <c r="I223" t="str">
        <f>VLOOKUP(G223,Kostenstellen!$A$1:$C$17,2,0)</f>
        <v>Elsner</v>
      </c>
    </row>
    <row r="224" spans="1:9" x14ac:dyDescent="0.2">
      <c r="A224">
        <v>6020</v>
      </c>
      <c r="B224" s="7">
        <v>45777</v>
      </c>
      <c r="C224" t="s">
        <v>368</v>
      </c>
      <c r="D224">
        <v>202504</v>
      </c>
      <c r="E224" s="6">
        <v>3150</v>
      </c>
      <c r="G224">
        <v>2012</v>
      </c>
      <c r="I224" t="str">
        <f>VLOOKUP(G224,Kostenstellen!$A$1:$C$17,2,0)</f>
        <v>Weingartz</v>
      </c>
    </row>
    <row r="225" spans="1:9" x14ac:dyDescent="0.2">
      <c r="A225">
        <v>6020</v>
      </c>
      <c r="B225" s="7">
        <v>45777</v>
      </c>
      <c r="C225" t="s">
        <v>368</v>
      </c>
      <c r="D225">
        <v>202504</v>
      </c>
      <c r="E225" s="6">
        <v>3875</v>
      </c>
      <c r="G225">
        <v>2014</v>
      </c>
      <c r="I225" t="str">
        <f>VLOOKUP(G225,Kostenstellen!$A$1:$C$17,2,0)</f>
        <v>Buzik</v>
      </c>
    </row>
    <row r="226" spans="1:9" x14ac:dyDescent="0.2">
      <c r="A226">
        <v>6020</v>
      </c>
      <c r="B226" s="7">
        <v>45777</v>
      </c>
      <c r="C226" t="s">
        <v>368</v>
      </c>
      <c r="D226">
        <v>202504</v>
      </c>
      <c r="E226" s="6">
        <v>3250</v>
      </c>
      <c r="G226">
        <v>2015</v>
      </c>
      <c r="I226" t="str">
        <f>VLOOKUP(G226,Kostenstellen!$A$1:$C$17,2,0)</f>
        <v>McDade</v>
      </c>
    </row>
    <row r="227" spans="1:9" x14ac:dyDescent="0.2">
      <c r="A227">
        <v>6020</v>
      </c>
      <c r="B227" s="7">
        <v>45777</v>
      </c>
      <c r="C227" t="s">
        <v>368</v>
      </c>
      <c r="D227">
        <v>202504</v>
      </c>
      <c r="E227" s="6">
        <v>6416.67</v>
      </c>
      <c r="G227">
        <v>2017</v>
      </c>
      <c r="I227" t="str">
        <f>VLOOKUP(G227,Kostenstellen!$A$1:$C$17,2,0)</f>
        <v>Hartmann</v>
      </c>
    </row>
    <row r="228" spans="1:9" x14ac:dyDescent="0.2">
      <c r="A228">
        <v>6020</v>
      </c>
      <c r="B228" s="7">
        <v>45777</v>
      </c>
      <c r="C228" t="s">
        <v>368</v>
      </c>
      <c r="D228">
        <v>202504</v>
      </c>
      <c r="E228" s="6">
        <v>4166.67</v>
      </c>
      <c r="G228">
        <v>2018</v>
      </c>
      <c r="I228" t="str">
        <f>VLOOKUP(G228,Kostenstellen!$A$1:$C$17,2,0)</f>
        <v>Ali Lara</v>
      </c>
    </row>
    <row r="229" spans="1:9" x14ac:dyDescent="0.2">
      <c r="A229">
        <v>6020</v>
      </c>
      <c r="B229" s="7">
        <v>45808</v>
      </c>
      <c r="C229" t="s">
        <v>367</v>
      </c>
      <c r="D229">
        <v>202505</v>
      </c>
      <c r="E229">
        <v>228.16</v>
      </c>
      <c r="G229">
        <v>2001</v>
      </c>
      <c r="I229" t="str">
        <f>VLOOKUP(G229,Kostenstellen!$A$1:$C$17,2,0)</f>
        <v>Koch Martin</v>
      </c>
    </row>
    <row r="230" spans="1:9" x14ac:dyDescent="0.2">
      <c r="A230">
        <v>6020</v>
      </c>
      <c r="B230" s="7">
        <v>45808</v>
      </c>
      <c r="C230" t="s">
        <v>368</v>
      </c>
      <c r="D230">
        <v>202505</v>
      </c>
      <c r="E230" s="6">
        <v>6666.67</v>
      </c>
      <c r="G230">
        <v>2001</v>
      </c>
      <c r="I230" t="str">
        <f>VLOOKUP(G230,Kostenstellen!$A$1:$C$17,2,0)</f>
        <v>Koch Martin</v>
      </c>
    </row>
    <row r="231" spans="1:9" x14ac:dyDescent="0.2">
      <c r="A231">
        <v>6020</v>
      </c>
      <c r="B231" s="7">
        <v>45808</v>
      </c>
      <c r="C231" t="s">
        <v>367</v>
      </c>
      <c r="D231">
        <v>202505</v>
      </c>
      <c r="E231">
        <v>321</v>
      </c>
      <c r="G231">
        <v>2011</v>
      </c>
      <c r="I231" t="str">
        <f>VLOOKUP(G231,Kostenstellen!$A$1:$C$17,2,0)</f>
        <v>Elsner</v>
      </c>
    </row>
    <row r="232" spans="1:9" x14ac:dyDescent="0.2">
      <c r="A232">
        <v>6020</v>
      </c>
      <c r="B232" s="7">
        <v>45808</v>
      </c>
      <c r="C232" t="s">
        <v>368</v>
      </c>
      <c r="D232">
        <v>202505</v>
      </c>
      <c r="E232" s="6">
        <v>10000</v>
      </c>
      <c r="G232">
        <v>2011</v>
      </c>
      <c r="I232" t="str">
        <f>VLOOKUP(G232,Kostenstellen!$A$1:$C$17,2,0)</f>
        <v>Elsner</v>
      </c>
    </row>
    <row r="233" spans="1:9" x14ac:dyDescent="0.2">
      <c r="A233">
        <v>6020</v>
      </c>
      <c r="B233" s="7">
        <v>45808</v>
      </c>
      <c r="C233" t="s">
        <v>368</v>
      </c>
      <c r="D233">
        <v>202505</v>
      </c>
      <c r="E233" s="6">
        <v>4593.75</v>
      </c>
      <c r="G233">
        <v>2012</v>
      </c>
      <c r="I233" t="str">
        <f>VLOOKUP(G233,Kostenstellen!$A$1:$C$17,2,0)</f>
        <v>Weingartz</v>
      </c>
    </row>
    <row r="234" spans="1:9" x14ac:dyDescent="0.2">
      <c r="A234">
        <v>6020</v>
      </c>
      <c r="B234" s="7">
        <v>45808</v>
      </c>
      <c r="C234" t="s">
        <v>368</v>
      </c>
      <c r="D234">
        <v>202505</v>
      </c>
      <c r="E234" s="6">
        <v>3875</v>
      </c>
      <c r="G234">
        <v>2014</v>
      </c>
      <c r="I234" t="str">
        <f>VLOOKUP(G234,Kostenstellen!$A$1:$C$17,2,0)</f>
        <v>Buzik</v>
      </c>
    </row>
    <row r="235" spans="1:9" x14ac:dyDescent="0.2">
      <c r="A235">
        <v>6020</v>
      </c>
      <c r="B235" s="7">
        <v>45808</v>
      </c>
      <c r="C235" t="s">
        <v>368</v>
      </c>
      <c r="D235">
        <v>202505</v>
      </c>
      <c r="E235" s="6">
        <v>3250</v>
      </c>
      <c r="G235">
        <v>2015</v>
      </c>
      <c r="I235" t="str">
        <f>VLOOKUP(G235,Kostenstellen!$A$1:$C$17,2,0)</f>
        <v>McDade</v>
      </c>
    </row>
    <row r="236" spans="1:9" x14ac:dyDescent="0.2">
      <c r="A236">
        <v>6020</v>
      </c>
      <c r="B236" s="7">
        <v>45808</v>
      </c>
      <c r="C236" t="s">
        <v>368</v>
      </c>
      <c r="D236">
        <v>202505</v>
      </c>
      <c r="E236" s="6">
        <v>6416.67</v>
      </c>
      <c r="G236">
        <v>2017</v>
      </c>
      <c r="I236" t="str">
        <f>VLOOKUP(G236,Kostenstellen!$A$1:$C$17,2,0)</f>
        <v>Hartmann</v>
      </c>
    </row>
    <row r="237" spans="1:9" x14ac:dyDescent="0.2">
      <c r="A237">
        <v>6020</v>
      </c>
      <c r="B237" s="7">
        <v>45808</v>
      </c>
      <c r="C237" t="s">
        <v>368</v>
      </c>
      <c r="D237">
        <v>202505</v>
      </c>
      <c r="E237" s="6">
        <v>4166.67</v>
      </c>
      <c r="G237">
        <v>2018</v>
      </c>
      <c r="I237" t="str">
        <f>VLOOKUP(G237,Kostenstellen!$A$1:$C$17,2,0)</f>
        <v>Ali Lara</v>
      </c>
    </row>
    <row r="238" spans="1:9" x14ac:dyDescent="0.2">
      <c r="A238">
        <v>6020</v>
      </c>
      <c r="B238" s="7">
        <v>45838</v>
      </c>
      <c r="C238" t="s">
        <v>367</v>
      </c>
      <c r="D238">
        <v>202506</v>
      </c>
      <c r="E238">
        <v>230</v>
      </c>
      <c r="G238">
        <v>2001</v>
      </c>
      <c r="I238" t="str">
        <f>VLOOKUP(G238,Kostenstellen!$A$1:$C$17,2,0)</f>
        <v>Koch Martin</v>
      </c>
    </row>
    <row r="239" spans="1:9" x14ac:dyDescent="0.2">
      <c r="A239">
        <v>6020</v>
      </c>
      <c r="B239" s="7">
        <v>45838</v>
      </c>
      <c r="C239" t="s">
        <v>368</v>
      </c>
      <c r="D239">
        <v>202506</v>
      </c>
      <c r="E239" s="6">
        <v>6666.67</v>
      </c>
      <c r="G239">
        <v>2001</v>
      </c>
      <c r="I239" t="str">
        <f>VLOOKUP(G239,Kostenstellen!$A$1:$C$17,2,0)</f>
        <v>Koch Martin</v>
      </c>
    </row>
    <row r="240" spans="1:9" x14ac:dyDescent="0.2">
      <c r="A240">
        <v>6020</v>
      </c>
      <c r="B240" s="7">
        <v>45838</v>
      </c>
      <c r="C240" t="s">
        <v>367</v>
      </c>
      <c r="D240">
        <v>202506</v>
      </c>
      <c r="E240">
        <v>321</v>
      </c>
      <c r="G240">
        <v>2011</v>
      </c>
      <c r="I240" t="str">
        <f>VLOOKUP(G240,Kostenstellen!$A$1:$C$17,2,0)</f>
        <v>Elsner</v>
      </c>
    </row>
    <row r="241" spans="1:9" x14ac:dyDescent="0.2">
      <c r="A241">
        <v>6020</v>
      </c>
      <c r="B241" s="7">
        <v>45838</v>
      </c>
      <c r="C241" t="s">
        <v>368</v>
      </c>
      <c r="D241">
        <v>202506</v>
      </c>
      <c r="E241" s="6">
        <v>10000</v>
      </c>
      <c r="G241">
        <v>2011</v>
      </c>
      <c r="I241" t="str">
        <f>VLOOKUP(G241,Kostenstellen!$A$1:$C$17,2,0)</f>
        <v>Elsner</v>
      </c>
    </row>
    <row r="242" spans="1:9" x14ac:dyDescent="0.2">
      <c r="A242">
        <v>6020</v>
      </c>
      <c r="B242" s="7">
        <v>45838</v>
      </c>
      <c r="C242" t="s">
        <v>368</v>
      </c>
      <c r="D242">
        <v>202506</v>
      </c>
      <c r="E242" s="6">
        <v>4593.75</v>
      </c>
      <c r="G242">
        <v>2012</v>
      </c>
      <c r="I242" t="str">
        <f>VLOOKUP(G242,Kostenstellen!$A$1:$C$17,2,0)</f>
        <v>Weingartz</v>
      </c>
    </row>
    <row r="243" spans="1:9" x14ac:dyDescent="0.2">
      <c r="A243">
        <v>6020</v>
      </c>
      <c r="B243" s="7">
        <v>45838</v>
      </c>
      <c r="C243" t="s">
        <v>368</v>
      </c>
      <c r="D243">
        <v>202506</v>
      </c>
      <c r="E243" s="6">
        <v>3875</v>
      </c>
      <c r="G243">
        <v>2014</v>
      </c>
      <c r="I243" t="str">
        <f>VLOOKUP(G243,Kostenstellen!$A$1:$C$17,2,0)</f>
        <v>Buzik</v>
      </c>
    </row>
    <row r="244" spans="1:9" x14ac:dyDescent="0.2">
      <c r="A244">
        <v>6020</v>
      </c>
      <c r="B244" s="7">
        <v>45838</v>
      </c>
      <c r="C244" t="s">
        <v>368</v>
      </c>
      <c r="D244">
        <v>202506</v>
      </c>
      <c r="E244" s="6">
        <v>3250</v>
      </c>
      <c r="G244">
        <v>2015</v>
      </c>
      <c r="I244" t="str">
        <f>VLOOKUP(G244,Kostenstellen!$A$1:$C$17,2,0)</f>
        <v>McDade</v>
      </c>
    </row>
    <row r="245" spans="1:9" x14ac:dyDescent="0.2">
      <c r="A245">
        <v>6020</v>
      </c>
      <c r="B245" s="7">
        <v>45838</v>
      </c>
      <c r="C245" t="s">
        <v>368</v>
      </c>
      <c r="D245">
        <v>202506</v>
      </c>
      <c r="E245" s="6">
        <v>6416.67</v>
      </c>
      <c r="G245">
        <v>2017</v>
      </c>
      <c r="I245" t="str">
        <f>VLOOKUP(G245,Kostenstellen!$A$1:$C$17,2,0)</f>
        <v>Hartmann</v>
      </c>
    </row>
    <row r="246" spans="1:9" x14ac:dyDescent="0.2">
      <c r="A246">
        <v>6020</v>
      </c>
      <c r="B246" s="7">
        <v>45838</v>
      </c>
      <c r="C246" t="s">
        <v>368</v>
      </c>
      <c r="D246">
        <v>202506</v>
      </c>
      <c r="E246" s="6">
        <v>4166.67</v>
      </c>
      <c r="G246">
        <v>2018</v>
      </c>
      <c r="I246" t="str">
        <f>VLOOKUP(G246,Kostenstellen!$A$1:$C$17,2,0)</f>
        <v>Ali Lara</v>
      </c>
    </row>
    <row r="247" spans="1:9" x14ac:dyDescent="0.2">
      <c r="A247">
        <v>6020</v>
      </c>
      <c r="B247" s="7">
        <v>45869</v>
      </c>
      <c r="C247" t="s">
        <v>367</v>
      </c>
      <c r="D247">
        <v>202507</v>
      </c>
      <c r="E247">
        <v>231.84</v>
      </c>
      <c r="G247">
        <v>2001</v>
      </c>
      <c r="I247" t="str">
        <f>VLOOKUP(G247,Kostenstellen!$A$1:$C$17,2,0)</f>
        <v>Koch Martin</v>
      </c>
    </row>
    <row r="248" spans="1:9" x14ac:dyDescent="0.2">
      <c r="A248">
        <v>6020</v>
      </c>
      <c r="B248" s="7">
        <v>45869</v>
      </c>
      <c r="C248" t="s">
        <v>368</v>
      </c>
      <c r="D248">
        <v>202507</v>
      </c>
      <c r="E248" s="6">
        <v>6666.67</v>
      </c>
      <c r="G248">
        <v>2001</v>
      </c>
      <c r="I248" t="str">
        <f>VLOOKUP(G248,Kostenstellen!$A$1:$C$17,2,0)</f>
        <v>Koch Martin</v>
      </c>
    </row>
    <row r="249" spans="1:9" x14ac:dyDescent="0.2">
      <c r="A249">
        <v>6020</v>
      </c>
      <c r="B249" s="7">
        <v>45869</v>
      </c>
      <c r="C249" t="s">
        <v>367</v>
      </c>
      <c r="D249">
        <v>202507</v>
      </c>
      <c r="E249">
        <v>321</v>
      </c>
      <c r="G249">
        <v>2011</v>
      </c>
      <c r="I249" t="str">
        <f>VLOOKUP(G249,Kostenstellen!$A$1:$C$17,2,0)</f>
        <v>Elsner</v>
      </c>
    </row>
    <row r="250" spans="1:9" x14ac:dyDescent="0.2">
      <c r="A250">
        <v>6020</v>
      </c>
      <c r="B250" s="7">
        <v>45869</v>
      </c>
      <c r="C250" t="s">
        <v>368</v>
      </c>
      <c r="D250">
        <v>202507</v>
      </c>
      <c r="E250" s="6">
        <v>10000</v>
      </c>
      <c r="G250">
        <v>2011</v>
      </c>
      <c r="I250" t="str">
        <f>VLOOKUP(G250,Kostenstellen!$A$1:$C$17,2,0)</f>
        <v>Elsner</v>
      </c>
    </row>
    <row r="251" spans="1:9" x14ac:dyDescent="0.2">
      <c r="A251">
        <v>6020</v>
      </c>
      <c r="B251" s="7">
        <v>45869</v>
      </c>
      <c r="C251" t="s">
        <v>368</v>
      </c>
      <c r="D251">
        <v>202507</v>
      </c>
      <c r="E251" s="6">
        <v>4593.75</v>
      </c>
      <c r="G251">
        <v>2012</v>
      </c>
      <c r="I251" t="str">
        <f>VLOOKUP(G251,Kostenstellen!$A$1:$C$17,2,0)</f>
        <v>Weingartz</v>
      </c>
    </row>
    <row r="252" spans="1:9" x14ac:dyDescent="0.2">
      <c r="A252">
        <v>6020</v>
      </c>
      <c r="B252" s="7">
        <v>45869</v>
      </c>
      <c r="C252" t="s">
        <v>368</v>
      </c>
      <c r="D252">
        <v>202507</v>
      </c>
      <c r="E252" s="6">
        <v>3875</v>
      </c>
      <c r="G252">
        <v>2014</v>
      </c>
      <c r="I252" t="str">
        <f>VLOOKUP(G252,Kostenstellen!$A$1:$C$17,2,0)</f>
        <v>Buzik</v>
      </c>
    </row>
    <row r="253" spans="1:9" x14ac:dyDescent="0.2">
      <c r="A253">
        <v>6020</v>
      </c>
      <c r="B253" s="7">
        <v>45869</v>
      </c>
      <c r="C253" t="s">
        <v>368</v>
      </c>
      <c r="D253">
        <v>202507</v>
      </c>
      <c r="E253" s="6">
        <v>3250</v>
      </c>
      <c r="G253">
        <v>2015</v>
      </c>
      <c r="I253" t="str">
        <f>VLOOKUP(G253,Kostenstellen!$A$1:$C$17,2,0)</f>
        <v>McDade</v>
      </c>
    </row>
    <row r="254" spans="1:9" x14ac:dyDescent="0.2">
      <c r="A254">
        <v>6020</v>
      </c>
      <c r="B254" s="7">
        <v>45869</v>
      </c>
      <c r="C254" t="s">
        <v>368</v>
      </c>
      <c r="D254">
        <v>202507</v>
      </c>
      <c r="E254" s="6">
        <v>6416.67</v>
      </c>
      <c r="G254">
        <v>2017</v>
      </c>
      <c r="I254" t="str">
        <f>VLOOKUP(G254,Kostenstellen!$A$1:$C$17,2,0)</f>
        <v>Hartmann</v>
      </c>
    </row>
    <row r="255" spans="1:9" x14ac:dyDescent="0.2">
      <c r="A255">
        <v>6020</v>
      </c>
      <c r="B255" s="7">
        <v>45869</v>
      </c>
      <c r="C255" t="s">
        <v>368</v>
      </c>
      <c r="D255">
        <v>202507</v>
      </c>
      <c r="E255" s="6">
        <v>4166.67</v>
      </c>
      <c r="G255">
        <v>2018</v>
      </c>
      <c r="I255" t="str">
        <f>VLOOKUP(G255,Kostenstellen!$A$1:$C$17,2,0)</f>
        <v>Ali Lara</v>
      </c>
    </row>
    <row r="256" spans="1:9" x14ac:dyDescent="0.2">
      <c r="A256">
        <v>6020</v>
      </c>
      <c r="B256" s="7">
        <v>45900</v>
      </c>
      <c r="C256" t="s">
        <v>367</v>
      </c>
      <c r="D256">
        <v>202508</v>
      </c>
      <c r="E256">
        <v>229.08</v>
      </c>
      <c r="G256">
        <v>2001</v>
      </c>
      <c r="I256" t="str">
        <f>VLOOKUP(G256,Kostenstellen!$A$1:$C$17,2,0)</f>
        <v>Koch Martin</v>
      </c>
    </row>
    <row r="257" spans="1:9" x14ac:dyDescent="0.2">
      <c r="A257">
        <v>6020</v>
      </c>
      <c r="B257" s="7">
        <v>45900</v>
      </c>
      <c r="C257" t="s">
        <v>368</v>
      </c>
      <c r="D257">
        <v>202508</v>
      </c>
      <c r="E257" s="6">
        <v>6666.67</v>
      </c>
      <c r="G257">
        <v>2001</v>
      </c>
      <c r="I257" t="str">
        <f>VLOOKUP(G257,Kostenstellen!$A$1:$C$17,2,0)</f>
        <v>Koch Martin</v>
      </c>
    </row>
    <row r="258" spans="1:9" x14ac:dyDescent="0.2">
      <c r="A258">
        <v>6020</v>
      </c>
      <c r="B258" s="7">
        <v>45900</v>
      </c>
      <c r="C258" t="s">
        <v>367</v>
      </c>
      <c r="D258">
        <v>202508</v>
      </c>
      <c r="E258">
        <v>321</v>
      </c>
      <c r="G258">
        <v>2011</v>
      </c>
      <c r="I258" t="str">
        <f>VLOOKUP(G258,Kostenstellen!$A$1:$C$17,2,0)</f>
        <v>Elsner</v>
      </c>
    </row>
    <row r="259" spans="1:9" x14ac:dyDescent="0.2">
      <c r="A259">
        <v>6020</v>
      </c>
      <c r="B259" s="7">
        <v>45900</v>
      </c>
      <c r="C259" t="s">
        <v>368</v>
      </c>
      <c r="D259">
        <v>202508</v>
      </c>
      <c r="E259" s="6">
        <v>10000</v>
      </c>
      <c r="G259">
        <v>2011</v>
      </c>
      <c r="I259" t="str">
        <f>VLOOKUP(G259,Kostenstellen!$A$1:$C$17,2,0)</f>
        <v>Elsner</v>
      </c>
    </row>
    <row r="260" spans="1:9" x14ac:dyDescent="0.2">
      <c r="A260">
        <v>6020</v>
      </c>
      <c r="B260" s="7">
        <v>45900</v>
      </c>
      <c r="C260" t="s">
        <v>368</v>
      </c>
      <c r="D260">
        <v>202508</v>
      </c>
      <c r="E260" s="6">
        <v>4868.95</v>
      </c>
      <c r="G260">
        <v>2012</v>
      </c>
      <c r="I260" t="str">
        <f>VLOOKUP(G260,Kostenstellen!$A$1:$C$17,2,0)</f>
        <v>Weingartz</v>
      </c>
    </row>
    <row r="261" spans="1:9" x14ac:dyDescent="0.2">
      <c r="A261">
        <v>6020</v>
      </c>
      <c r="B261" s="7">
        <v>45900</v>
      </c>
      <c r="C261" t="s">
        <v>368</v>
      </c>
      <c r="D261">
        <v>202508</v>
      </c>
      <c r="E261" s="6">
        <v>3916.67</v>
      </c>
      <c r="G261">
        <v>2014</v>
      </c>
      <c r="I261" t="str">
        <f>VLOOKUP(G261,Kostenstellen!$A$1:$C$17,2,0)</f>
        <v>Buzik</v>
      </c>
    </row>
    <row r="262" spans="1:9" x14ac:dyDescent="0.2">
      <c r="A262">
        <v>6020</v>
      </c>
      <c r="B262" s="7">
        <v>45900</v>
      </c>
      <c r="C262" t="s">
        <v>368</v>
      </c>
      <c r="D262">
        <v>202508</v>
      </c>
      <c r="E262" s="6">
        <v>3250</v>
      </c>
      <c r="G262">
        <v>2015</v>
      </c>
      <c r="I262" t="str">
        <f>VLOOKUP(G262,Kostenstellen!$A$1:$C$17,2,0)</f>
        <v>McDade</v>
      </c>
    </row>
    <row r="263" spans="1:9" x14ac:dyDescent="0.2">
      <c r="A263">
        <v>6020</v>
      </c>
      <c r="B263" s="7">
        <v>45900</v>
      </c>
      <c r="C263" t="s">
        <v>368</v>
      </c>
      <c r="D263">
        <v>202508</v>
      </c>
      <c r="E263" s="6">
        <v>6416.67</v>
      </c>
      <c r="G263">
        <v>2017</v>
      </c>
      <c r="I263" t="str">
        <f>VLOOKUP(G263,Kostenstellen!$A$1:$C$17,2,0)</f>
        <v>Hartmann</v>
      </c>
    </row>
    <row r="264" spans="1:9" x14ac:dyDescent="0.2">
      <c r="A264">
        <v>6020</v>
      </c>
      <c r="B264" s="7">
        <v>45900</v>
      </c>
      <c r="C264" t="s">
        <v>368</v>
      </c>
      <c r="D264">
        <v>202508</v>
      </c>
      <c r="E264" s="6">
        <v>4166.67</v>
      </c>
      <c r="G264">
        <v>2018</v>
      </c>
      <c r="I264" t="str">
        <f>VLOOKUP(G264,Kostenstellen!$A$1:$C$17,2,0)</f>
        <v>Ali Lara</v>
      </c>
    </row>
    <row r="265" spans="1:9" x14ac:dyDescent="0.2">
      <c r="A265">
        <v>6020</v>
      </c>
      <c r="B265" s="7">
        <v>45930</v>
      </c>
      <c r="C265" t="s">
        <v>367</v>
      </c>
      <c r="D265">
        <v>202509</v>
      </c>
      <c r="E265">
        <v>230</v>
      </c>
      <c r="G265">
        <v>2001</v>
      </c>
      <c r="I265" t="str">
        <f>VLOOKUP(G265,Kostenstellen!$A$1:$C$17,2,0)</f>
        <v>Koch Martin</v>
      </c>
    </row>
    <row r="266" spans="1:9" x14ac:dyDescent="0.2">
      <c r="A266">
        <v>6020</v>
      </c>
      <c r="B266" s="7">
        <v>45930</v>
      </c>
      <c r="C266" t="s">
        <v>368</v>
      </c>
      <c r="D266">
        <v>202509</v>
      </c>
      <c r="E266" s="6">
        <v>6666.67</v>
      </c>
      <c r="G266">
        <v>2001</v>
      </c>
      <c r="I266" t="str">
        <f>VLOOKUP(G266,Kostenstellen!$A$1:$C$17,2,0)</f>
        <v>Koch Martin</v>
      </c>
    </row>
    <row r="267" spans="1:9" x14ac:dyDescent="0.2">
      <c r="A267">
        <v>6020</v>
      </c>
      <c r="B267" s="7">
        <v>45930</v>
      </c>
      <c r="C267" t="s">
        <v>367</v>
      </c>
      <c r="D267">
        <v>202509</v>
      </c>
      <c r="E267">
        <v>321</v>
      </c>
      <c r="G267">
        <v>2011</v>
      </c>
      <c r="I267" t="str">
        <f>VLOOKUP(G267,Kostenstellen!$A$1:$C$17,2,0)</f>
        <v>Elsner</v>
      </c>
    </row>
    <row r="268" spans="1:9" x14ac:dyDescent="0.2">
      <c r="A268">
        <v>6020</v>
      </c>
      <c r="B268" s="7">
        <v>45930</v>
      </c>
      <c r="C268" t="s">
        <v>368</v>
      </c>
      <c r="D268">
        <v>202509</v>
      </c>
      <c r="E268" s="6">
        <v>10000</v>
      </c>
      <c r="G268">
        <v>2011</v>
      </c>
      <c r="I268" t="str">
        <f>VLOOKUP(G268,Kostenstellen!$A$1:$C$17,2,0)</f>
        <v>Elsner</v>
      </c>
    </row>
    <row r="269" spans="1:9" x14ac:dyDescent="0.2">
      <c r="A269">
        <v>6020</v>
      </c>
      <c r="B269" s="7">
        <v>45930</v>
      </c>
      <c r="C269" t="s">
        <v>368</v>
      </c>
      <c r="D269">
        <v>202509</v>
      </c>
      <c r="E269" s="6">
        <v>5250</v>
      </c>
      <c r="G269">
        <v>2012</v>
      </c>
      <c r="I269" t="str">
        <f>VLOOKUP(G269,Kostenstellen!$A$1:$C$17,2,0)</f>
        <v>Weingartz</v>
      </c>
    </row>
    <row r="270" spans="1:9" x14ac:dyDescent="0.2">
      <c r="A270">
        <v>6020</v>
      </c>
      <c r="B270" s="7">
        <v>45930</v>
      </c>
      <c r="C270" t="s">
        <v>368</v>
      </c>
      <c r="D270">
        <v>202509</v>
      </c>
      <c r="E270" s="6">
        <v>5166.67</v>
      </c>
      <c r="G270">
        <v>2014</v>
      </c>
      <c r="I270" t="str">
        <f>VLOOKUP(G270,Kostenstellen!$A$1:$C$17,2,0)</f>
        <v>Buzik</v>
      </c>
    </row>
    <row r="271" spans="1:9" x14ac:dyDescent="0.2">
      <c r="A271">
        <v>6020</v>
      </c>
      <c r="B271" s="7">
        <v>45930</v>
      </c>
      <c r="C271" t="s">
        <v>368</v>
      </c>
      <c r="D271">
        <v>202509</v>
      </c>
      <c r="E271" s="6">
        <v>3250</v>
      </c>
      <c r="G271">
        <v>2015</v>
      </c>
      <c r="I271" t="str">
        <f>VLOOKUP(G271,Kostenstellen!$A$1:$C$17,2,0)</f>
        <v>McDade</v>
      </c>
    </row>
    <row r="272" spans="1:9" x14ac:dyDescent="0.2">
      <c r="A272">
        <v>6020</v>
      </c>
      <c r="B272" s="7">
        <v>45930</v>
      </c>
      <c r="C272" t="s">
        <v>368</v>
      </c>
      <c r="D272">
        <v>202509</v>
      </c>
      <c r="E272" s="6">
        <v>6416.67</v>
      </c>
      <c r="G272">
        <v>2017</v>
      </c>
      <c r="I272" t="str">
        <f>VLOOKUP(G272,Kostenstellen!$A$1:$C$17,2,0)</f>
        <v>Hartmann</v>
      </c>
    </row>
    <row r="273" spans="1:9" x14ac:dyDescent="0.2">
      <c r="A273">
        <v>6020</v>
      </c>
      <c r="B273" s="7">
        <v>45930</v>
      </c>
      <c r="C273" t="s">
        <v>368</v>
      </c>
      <c r="D273">
        <v>202509</v>
      </c>
      <c r="E273" s="6">
        <v>4166.67</v>
      </c>
      <c r="G273">
        <v>2018</v>
      </c>
      <c r="I273" t="str">
        <f>VLOOKUP(G273,Kostenstellen!$A$1:$C$17,2,0)</f>
        <v>Ali Lara</v>
      </c>
    </row>
    <row r="274" spans="1:9" x14ac:dyDescent="0.2">
      <c r="A274">
        <v>6020</v>
      </c>
      <c r="B274" s="7">
        <v>45961</v>
      </c>
      <c r="C274" t="s">
        <v>367</v>
      </c>
      <c r="D274">
        <v>202510</v>
      </c>
      <c r="E274">
        <v>230</v>
      </c>
      <c r="G274">
        <v>2001</v>
      </c>
      <c r="I274" t="str">
        <f>VLOOKUP(G274,Kostenstellen!$A$1:$C$17,2,0)</f>
        <v>Koch Martin</v>
      </c>
    </row>
    <row r="275" spans="1:9" x14ac:dyDescent="0.2">
      <c r="A275">
        <v>6020</v>
      </c>
      <c r="B275" s="7">
        <v>45961</v>
      </c>
      <c r="C275" t="s">
        <v>368</v>
      </c>
      <c r="D275">
        <v>202510</v>
      </c>
      <c r="E275" s="6">
        <v>6666.67</v>
      </c>
      <c r="G275">
        <v>2001</v>
      </c>
      <c r="I275" t="str">
        <f>VLOOKUP(G275,Kostenstellen!$A$1:$C$17,2,0)</f>
        <v>Koch Martin</v>
      </c>
    </row>
    <row r="276" spans="1:9" x14ac:dyDescent="0.2">
      <c r="A276">
        <v>6020</v>
      </c>
      <c r="B276" s="7">
        <v>45961</v>
      </c>
      <c r="C276" t="s">
        <v>367</v>
      </c>
      <c r="D276">
        <v>202510</v>
      </c>
      <c r="E276">
        <v>321</v>
      </c>
      <c r="G276">
        <v>2011</v>
      </c>
      <c r="I276" t="str">
        <f>VLOOKUP(G276,Kostenstellen!$A$1:$C$17,2,0)</f>
        <v>Elsner</v>
      </c>
    </row>
    <row r="277" spans="1:9" x14ac:dyDescent="0.2">
      <c r="A277">
        <v>6020</v>
      </c>
      <c r="B277" s="7">
        <v>45961</v>
      </c>
      <c r="C277" t="s">
        <v>368</v>
      </c>
      <c r="D277">
        <v>202510</v>
      </c>
      <c r="E277" s="6">
        <v>10000</v>
      </c>
      <c r="G277">
        <v>2011</v>
      </c>
      <c r="I277" t="str">
        <f>VLOOKUP(G277,Kostenstellen!$A$1:$C$17,2,0)</f>
        <v>Elsner</v>
      </c>
    </row>
    <row r="278" spans="1:9" x14ac:dyDescent="0.2">
      <c r="A278">
        <v>6020</v>
      </c>
      <c r="B278" s="7">
        <v>45961</v>
      </c>
      <c r="C278" t="s">
        <v>368</v>
      </c>
      <c r="D278">
        <v>202510</v>
      </c>
      <c r="E278" s="6">
        <v>5250</v>
      </c>
      <c r="G278">
        <v>2012</v>
      </c>
      <c r="I278" t="str">
        <f>VLOOKUP(G278,Kostenstellen!$A$1:$C$17,2,0)</f>
        <v>Weingartz</v>
      </c>
    </row>
    <row r="279" spans="1:9" x14ac:dyDescent="0.2">
      <c r="A279">
        <v>6020</v>
      </c>
      <c r="B279" s="7">
        <v>45961</v>
      </c>
      <c r="C279" t="s">
        <v>368</v>
      </c>
      <c r="D279">
        <v>202510</v>
      </c>
      <c r="E279" s="6">
        <v>5166.67</v>
      </c>
      <c r="G279">
        <v>2014</v>
      </c>
      <c r="I279" t="str">
        <f>VLOOKUP(G279,Kostenstellen!$A$1:$C$17,2,0)</f>
        <v>Buzik</v>
      </c>
    </row>
    <row r="280" spans="1:9" x14ac:dyDescent="0.2">
      <c r="A280">
        <v>6020</v>
      </c>
      <c r="B280" s="7">
        <v>45961</v>
      </c>
      <c r="C280" t="s">
        <v>368</v>
      </c>
      <c r="D280">
        <v>202510</v>
      </c>
      <c r="E280" s="6">
        <v>3250</v>
      </c>
      <c r="G280">
        <v>2015</v>
      </c>
      <c r="I280" t="str">
        <f>VLOOKUP(G280,Kostenstellen!$A$1:$C$17,2,0)</f>
        <v>McDade</v>
      </c>
    </row>
    <row r="281" spans="1:9" x14ac:dyDescent="0.2">
      <c r="A281">
        <v>6020</v>
      </c>
      <c r="B281" s="7">
        <v>45961</v>
      </c>
      <c r="C281" t="s">
        <v>368</v>
      </c>
      <c r="D281">
        <v>202510</v>
      </c>
      <c r="E281" s="6">
        <v>6416.67</v>
      </c>
      <c r="G281">
        <v>2017</v>
      </c>
      <c r="I281" t="str">
        <f>VLOOKUP(G281,Kostenstellen!$A$1:$C$17,2,0)</f>
        <v>Hartmann</v>
      </c>
    </row>
    <row r="282" spans="1:9" x14ac:dyDescent="0.2">
      <c r="A282">
        <v>6020</v>
      </c>
      <c r="B282" s="7">
        <v>45961</v>
      </c>
      <c r="C282" t="s">
        <v>368</v>
      </c>
      <c r="D282">
        <v>202510</v>
      </c>
      <c r="E282" s="6">
        <v>4166.67</v>
      </c>
      <c r="G282">
        <v>2018</v>
      </c>
      <c r="I282" t="str">
        <f>VLOOKUP(G282,Kostenstellen!$A$1:$C$17,2,0)</f>
        <v>Ali Lara</v>
      </c>
    </row>
    <row r="283" spans="1:9" x14ac:dyDescent="0.2">
      <c r="A283">
        <v>6020</v>
      </c>
      <c r="B283" s="7">
        <v>45991</v>
      </c>
      <c r="C283" t="s">
        <v>367</v>
      </c>
      <c r="D283">
        <v>202511</v>
      </c>
      <c r="E283">
        <v>237.36</v>
      </c>
      <c r="G283">
        <v>2001</v>
      </c>
      <c r="I283" t="str">
        <f>VLOOKUP(G283,Kostenstellen!$A$1:$C$17,2,0)</f>
        <v>Koch Martin</v>
      </c>
    </row>
    <row r="284" spans="1:9" x14ac:dyDescent="0.2">
      <c r="A284">
        <v>6020</v>
      </c>
      <c r="B284" s="7">
        <v>45991</v>
      </c>
      <c r="C284" t="s">
        <v>368</v>
      </c>
      <c r="D284">
        <v>202511</v>
      </c>
      <c r="E284" s="6">
        <v>6666.67</v>
      </c>
      <c r="G284">
        <v>2001</v>
      </c>
      <c r="I284" t="str">
        <f>VLOOKUP(G284,Kostenstellen!$A$1:$C$17,2,0)</f>
        <v>Koch Martin</v>
      </c>
    </row>
    <row r="285" spans="1:9" x14ac:dyDescent="0.2">
      <c r="A285">
        <v>6020</v>
      </c>
      <c r="B285" s="7">
        <v>45991</v>
      </c>
      <c r="C285" t="s">
        <v>367</v>
      </c>
      <c r="D285">
        <v>202511</v>
      </c>
      <c r="E285">
        <v>321</v>
      </c>
      <c r="G285">
        <v>2011</v>
      </c>
      <c r="I285" t="str">
        <f>VLOOKUP(G285,Kostenstellen!$A$1:$C$17,2,0)</f>
        <v>Elsner</v>
      </c>
    </row>
    <row r="286" spans="1:9" x14ac:dyDescent="0.2">
      <c r="A286">
        <v>6020</v>
      </c>
      <c r="B286" s="7">
        <v>45991</v>
      </c>
      <c r="C286" t="s">
        <v>368</v>
      </c>
      <c r="D286">
        <v>202511</v>
      </c>
      <c r="E286" s="6">
        <v>10000</v>
      </c>
      <c r="G286">
        <v>2011</v>
      </c>
      <c r="I286" t="str">
        <f>VLOOKUP(G286,Kostenstellen!$A$1:$C$17,2,0)</f>
        <v>Elsner</v>
      </c>
    </row>
    <row r="287" spans="1:9" x14ac:dyDescent="0.2">
      <c r="A287">
        <v>6020</v>
      </c>
      <c r="B287" s="7">
        <v>45991</v>
      </c>
      <c r="C287" t="s">
        <v>368</v>
      </c>
      <c r="D287">
        <v>202511</v>
      </c>
      <c r="E287" s="6">
        <v>5250</v>
      </c>
      <c r="G287">
        <v>2012</v>
      </c>
      <c r="I287" t="str">
        <f>VLOOKUP(G287,Kostenstellen!$A$1:$C$17,2,0)</f>
        <v>Weingartz</v>
      </c>
    </row>
    <row r="288" spans="1:9" x14ac:dyDescent="0.2">
      <c r="A288">
        <v>6020</v>
      </c>
      <c r="B288" s="7">
        <v>45991</v>
      </c>
      <c r="C288" t="s">
        <v>368</v>
      </c>
      <c r="D288">
        <v>202511</v>
      </c>
      <c r="E288" s="6">
        <v>5166.67</v>
      </c>
      <c r="G288">
        <v>2014</v>
      </c>
      <c r="I288" t="str">
        <f>VLOOKUP(G288,Kostenstellen!$A$1:$C$17,2,0)</f>
        <v>Buzik</v>
      </c>
    </row>
    <row r="289" spans="1:9" x14ac:dyDescent="0.2">
      <c r="A289">
        <v>6020</v>
      </c>
      <c r="B289" s="7">
        <v>45991</v>
      </c>
      <c r="C289" t="s">
        <v>368</v>
      </c>
      <c r="D289">
        <v>202511</v>
      </c>
      <c r="E289" s="6">
        <v>3250</v>
      </c>
      <c r="G289">
        <v>2015</v>
      </c>
      <c r="I289" t="str">
        <f>VLOOKUP(G289,Kostenstellen!$A$1:$C$17,2,0)</f>
        <v>McDade</v>
      </c>
    </row>
    <row r="290" spans="1:9" x14ac:dyDescent="0.2">
      <c r="A290">
        <v>6020</v>
      </c>
      <c r="B290" s="7">
        <v>45991</v>
      </c>
      <c r="C290" t="s">
        <v>368</v>
      </c>
      <c r="D290">
        <v>202511</v>
      </c>
      <c r="E290" s="6">
        <v>6416.67</v>
      </c>
      <c r="G290">
        <v>2017</v>
      </c>
      <c r="I290" t="str">
        <f>VLOOKUP(G290,Kostenstellen!$A$1:$C$17,2,0)</f>
        <v>Hartmann</v>
      </c>
    </row>
    <row r="291" spans="1:9" x14ac:dyDescent="0.2">
      <c r="A291">
        <v>6020</v>
      </c>
      <c r="B291" s="7">
        <v>45991</v>
      </c>
      <c r="C291" t="s">
        <v>368</v>
      </c>
      <c r="D291">
        <v>202511</v>
      </c>
      <c r="E291" s="6">
        <v>4166.67</v>
      </c>
      <c r="G291">
        <v>2018</v>
      </c>
      <c r="I291" t="str">
        <f>VLOOKUP(G291,Kostenstellen!$A$1:$C$17,2,0)</f>
        <v>Ali Lara</v>
      </c>
    </row>
    <row r="292" spans="1:9" x14ac:dyDescent="0.2">
      <c r="A292">
        <v>6020</v>
      </c>
      <c r="B292" s="7">
        <v>46022</v>
      </c>
      <c r="C292" t="s">
        <v>367</v>
      </c>
      <c r="D292">
        <v>202512</v>
      </c>
      <c r="E292">
        <v>230.92</v>
      </c>
      <c r="G292">
        <v>2001</v>
      </c>
      <c r="I292" t="str">
        <f>VLOOKUP(G292,Kostenstellen!$A$1:$C$17,2,0)</f>
        <v>Koch Martin</v>
      </c>
    </row>
    <row r="293" spans="1:9" x14ac:dyDescent="0.2">
      <c r="A293">
        <v>6020</v>
      </c>
      <c r="B293" s="7">
        <v>46022</v>
      </c>
      <c r="C293" t="s">
        <v>368</v>
      </c>
      <c r="D293">
        <v>202512</v>
      </c>
      <c r="E293" s="6">
        <v>6666.67</v>
      </c>
      <c r="G293">
        <v>2001</v>
      </c>
      <c r="I293" t="str">
        <f>VLOOKUP(G293,Kostenstellen!$A$1:$C$17,2,0)</f>
        <v>Koch Martin</v>
      </c>
    </row>
    <row r="294" spans="1:9" x14ac:dyDescent="0.2">
      <c r="A294">
        <v>6020</v>
      </c>
      <c r="B294" s="7">
        <v>46022</v>
      </c>
      <c r="C294" t="s">
        <v>367</v>
      </c>
      <c r="D294">
        <v>202512</v>
      </c>
      <c r="E294">
        <v>321</v>
      </c>
      <c r="G294">
        <v>2011</v>
      </c>
      <c r="I294" t="str">
        <f>VLOOKUP(G294,Kostenstellen!$A$1:$C$17,2,0)</f>
        <v>Elsner</v>
      </c>
    </row>
    <row r="295" spans="1:9" x14ac:dyDescent="0.2">
      <c r="A295">
        <v>6020</v>
      </c>
      <c r="B295" s="7">
        <v>46022</v>
      </c>
      <c r="C295" t="s">
        <v>368</v>
      </c>
      <c r="D295">
        <v>202512</v>
      </c>
      <c r="E295" s="6">
        <v>10000</v>
      </c>
      <c r="G295">
        <v>2011</v>
      </c>
      <c r="I295" t="str">
        <f>VLOOKUP(G295,Kostenstellen!$A$1:$C$17,2,0)</f>
        <v>Elsner</v>
      </c>
    </row>
    <row r="296" spans="1:9" x14ac:dyDescent="0.2">
      <c r="A296">
        <v>6020</v>
      </c>
      <c r="B296" s="7">
        <v>46022</v>
      </c>
      <c r="C296" t="s">
        <v>368</v>
      </c>
      <c r="D296">
        <v>202512</v>
      </c>
      <c r="E296" s="6">
        <v>5250</v>
      </c>
      <c r="G296">
        <v>2012</v>
      </c>
      <c r="I296" t="str">
        <f>VLOOKUP(G296,Kostenstellen!$A$1:$C$17,2,0)</f>
        <v>Weingartz</v>
      </c>
    </row>
    <row r="297" spans="1:9" x14ac:dyDescent="0.2">
      <c r="A297">
        <v>6020</v>
      </c>
      <c r="B297" s="7">
        <v>46022</v>
      </c>
      <c r="C297" t="s">
        <v>368</v>
      </c>
      <c r="D297">
        <v>202512</v>
      </c>
      <c r="E297" s="6">
        <v>5166.67</v>
      </c>
      <c r="G297">
        <v>2014</v>
      </c>
      <c r="I297" t="str">
        <f>VLOOKUP(G297,Kostenstellen!$A$1:$C$17,2,0)</f>
        <v>Buzik</v>
      </c>
    </row>
    <row r="298" spans="1:9" x14ac:dyDescent="0.2">
      <c r="A298">
        <v>6020</v>
      </c>
      <c r="B298" s="7">
        <v>46022</v>
      </c>
      <c r="C298" t="s">
        <v>368</v>
      </c>
      <c r="D298">
        <v>202512</v>
      </c>
      <c r="E298" s="6">
        <v>3250</v>
      </c>
      <c r="G298">
        <v>2015</v>
      </c>
      <c r="I298" t="str">
        <f>VLOOKUP(G298,Kostenstellen!$A$1:$C$17,2,0)</f>
        <v>McDade</v>
      </c>
    </row>
    <row r="299" spans="1:9" x14ac:dyDescent="0.2">
      <c r="A299">
        <v>6020</v>
      </c>
      <c r="B299" s="7">
        <v>46022</v>
      </c>
      <c r="C299" t="s">
        <v>368</v>
      </c>
      <c r="D299">
        <v>202512</v>
      </c>
      <c r="E299" s="6">
        <v>6416.67</v>
      </c>
      <c r="G299">
        <v>2017</v>
      </c>
      <c r="I299" t="str">
        <f>VLOOKUP(G299,Kostenstellen!$A$1:$C$17,2,0)</f>
        <v>Hartmann</v>
      </c>
    </row>
    <row r="300" spans="1:9" x14ac:dyDescent="0.2">
      <c r="A300">
        <v>6020</v>
      </c>
      <c r="B300" s="7">
        <v>46022</v>
      </c>
      <c r="C300" t="s">
        <v>368</v>
      </c>
      <c r="D300">
        <v>202512</v>
      </c>
      <c r="E300" s="6">
        <v>4166.67</v>
      </c>
      <c r="G300">
        <v>2018</v>
      </c>
      <c r="I300" t="str">
        <f>VLOOKUP(G300,Kostenstellen!$A$1:$C$17,2,0)</f>
        <v>Ali Lara</v>
      </c>
    </row>
    <row r="301" spans="1:9" x14ac:dyDescent="0.2">
      <c r="A301">
        <v>6039</v>
      </c>
      <c r="B301" s="7">
        <v>45747</v>
      </c>
      <c r="C301" t="s">
        <v>369</v>
      </c>
      <c r="D301">
        <v>202503</v>
      </c>
      <c r="E301" s="6">
        <v>1540.23</v>
      </c>
      <c r="G301">
        <v>2017</v>
      </c>
      <c r="I301" t="str">
        <f>VLOOKUP(G301,Kostenstellen!$A$1:$C$17,2,0)</f>
        <v>Hartmann</v>
      </c>
    </row>
    <row r="302" spans="1:9" x14ac:dyDescent="0.2">
      <c r="A302">
        <v>6060</v>
      </c>
      <c r="B302" s="7">
        <v>45747</v>
      </c>
      <c r="C302" t="s">
        <v>370</v>
      </c>
      <c r="D302">
        <v>202503</v>
      </c>
      <c r="E302" s="6">
        <v>5409.75</v>
      </c>
      <c r="G302">
        <v>2017</v>
      </c>
      <c r="I302" t="str">
        <f>VLOOKUP(G302,Kostenstellen!$A$1:$C$17,2,0)</f>
        <v>Hartmann</v>
      </c>
    </row>
    <row r="303" spans="1:9" x14ac:dyDescent="0.2">
      <c r="A303">
        <v>6072</v>
      </c>
      <c r="B303" s="7">
        <v>45688</v>
      </c>
      <c r="C303" t="s">
        <v>371</v>
      </c>
      <c r="D303">
        <v>202501</v>
      </c>
      <c r="E303">
        <v>230</v>
      </c>
      <c r="G303">
        <v>2001</v>
      </c>
      <c r="I303" t="str">
        <f>VLOOKUP(G303,Kostenstellen!$A$1:$C$17,2,0)</f>
        <v>Koch Martin</v>
      </c>
    </row>
    <row r="304" spans="1:9" x14ac:dyDescent="0.2">
      <c r="A304">
        <v>6072</v>
      </c>
      <c r="B304" s="7">
        <v>45688</v>
      </c>
      <c r="C304" t="s">
        <v>371</v>
      </c>
      <c r="D304">
        <v>202501</v>
      </c>
      <c r="E304">
        <v>230</v>
      </c>
      <c r="G304">
        <v>2011</v>
      </c>
      <c r="I304" t="str">
        <f>VLOOKUP(G304,Kostenstellen!$A$1:$C$17,2,0)</f>
        <v>Elsner</v>
      </c>
    </row>
    <row r="305" spans="1:9" x14ac:dyDescent="0.2">
      <c r="A305">
        <v>6072</v>
      </c>
      <c r="B305" s="7">
        <v>45716</v>
      </c>
      <c r="C305" t="s">
        <v>371</v>
      </c>
      <c r="D305">
        <v>202502</v>
      </c>
      <c r="E305">
        <v>230</v>
      </c>
      <c r="G305">
        <v>2001</v>
      </c>
      <c r="I305" t="str">
        <f>VLOOKUP(G305,Kostenstellen!$A$1:$C$17,2,0)</f>
        <v>Koch Martin</v>
      </c>
    </row>
    <row r="306" spans="1:9" x14ac:dyDescent="0.2">
      <c r="A306">
        <v>6072</v>
      </c>
      <c r="B306" s="7">
        <v>45716</v>
      </c>
      <c r="C306" t="s">
        <v>371</v>
      </c>
      <c r="D306">
        <v>202502</v>
      </c>
      <c r="E306">
        <v>230</v>
      </c>
      <c r="G306">
        <v>2011</v>
      </c>
      <c r="I306" t="str">
        <f>VLOOKUP(G306,Kostenstellen!$A$1:$C$17,2,0)</f>
        <v>Elsner</v>
      </c>
    </row>
    <row r="307" spans="1:9" x14ac:dyDescent="0.2">
      <c r="A307">
        <v>6072</v>
      </c>
      <c r="B307" s="7">
        <v>45747</v>
      </c>
      <c r="C307" t="s">
        <v>371</v>
      </c>
      <c r="D307">
        <v>202503</v>
      </c>
      <c r="E307">
        <v>230</v>
      </c>
      <c r="G307">
        <v>2001</v>
      </c>
      <c r="I307" t="str">
        <f>VLOOKUP(G307,Kostenstellen!$A$1:$C$17,2,0)</f>
        <v>Koch Martin</v>
      </c>
    </row>
    <row r="308" spans="1:9" x14ac:dyDescent="0.2">
      <c r="A308">
        <v>6072</v>
      </c>
      <c r="B308" s="7">
        <v>45747</v>
      </c>
      <c r="C308" t="s">
        <v>371</v>
      </c>
      <c r="D308">
        <v>202503</v>
      </c>
      <c r="E308">
        <v>320</v>
      </c>
      <c r="G308">
        <v>2011</v>
      </c>
      <c r="I308" t="str">
        <f>VLOOKUP(G308,Kostenstellen!$A$1:$C$17,2,0)</f>
        <v>Elsner</v>
      </c>
    </row>
    <row r="309" spans="1:9" x14ac:dyDescent="0.2">
      <c r="A309">
        <v>6072</v>
      </c>
      <c r="B309" s="7">
        <v>45777</v>
      </c>
      <c r="C309" t="s">
        <v>371</v>
      </c>
      <c r="D309">
        <v>202504</v>
      </c>
      <c r="E309">
        <v>230</v>
      </c>
      <c r="G309">
        <v>2001</v>
      </c>
      <c r="I309" t="str">
        <f>VLOOKUP(G309,Kostenstellen!$A$1:$C$17,2,0)</f>
        <v>Koch Martin</v>
      </c>
    </row>
    <row r="310" spans="1:9" x14ac:dyDescent="0.2">
      <c r="A310">
        <v>6072</v>
      </c>
      <c r="B310" s="7">
        <v>45777</v>
      </c>
      <c r="C310" t="s">
        <v>371</v>
      </c>
      <c r="D310">
        <v>202504</v>
      </c>
      <c r="E310">
        <v>320</v>
      </c>
      <c r="G310">
        <v>2011</v>
      </c>
      <c r="I310" t="str">
        <f>VLOOKUP(G310,Kostenstellen!$A$1:$C$17,2,0)</f>
        <v>Elsner</v>
      </c>
    </row>
    <row r="311" spans="1:9" x14ac:dyDescent="0.2">
      <c r="A311">
        <v>6072</v>
      </c>
      <c r="B311" s="7">
        <v>45808</v>
      </c>
      <c r="C311" t="s">
        <v>371</v>
      </c>
      <c r="D311">
        <v>202505</v>
      </c>
      <c r="E311">
        <v>230</v>
      </c>
      <c r="G311">
        <v>2001</v>
      </c>
      <c r="I311" t="str">
        <f>VLOOKUP(G311,Kostenstellen!$A$1:$C$17,2,0)</f>
        <v>Koch Martin</v>
      </c>
    </row>
    <row r="312" spans="1:9" x14ac:dyDescent="0.2">
      <c r="A312">
        <v>6072</v>
      </c>
      <c r="B312" s="7">
        <v>45808</v>
      </c>
      <c r="C312" t="s">
        <v>371</v>
      </c>
      <c r="D312">
        <v>202505</v>
      </c>
      <c r="E312">
        <v>320</v>
      </c>
      <c r="G312">
        <v>2011</v>
      </c>
      <c r="I312" t="str">
        <f>VLOOKUP(G312,Kostenstellen!$A$1:$C$17,2,0)</f>
        <v>Elsner</v>
      </c>
    </row>
    <row r="313" spans="1:9" x14ac:dyDescent="0.2">
      <c r="A313">
        <v>6072</v>
      </c>
      <c r="B313" s="7">
        <v>45838</v>
      </c>
      <c r="C313" t="s">
        <v>371</v>
      </c>
      <c r="D313">
        <v>202506</v>
      </c>
      <c r="E313">
        <v>230</v>
      </c>
      <c r="G313">
        <v>2001</v>
      </c>
      <c r="I313" t="str">
        <f>VLOOKUP(G313,Kostenstellen!$A$1:$C$17,2,0)</f>
        <v>Koch Martin</v>
      </c>
    </row>
    <row r="314" spans="1:9" x14ac:dyDescent="0.2">
      <c r="A314">
        <v>6072</v>
      </c>
      <c r="B314" s="7">
        <v>45838</v>
      </c>
      <c r="C314" t="s">
        <v>371</v>
      </c>
      <c r="D314">
        <v>202506</v>
      </c>
      <c r="E314">
        <v>320</v>
      </c>
      <c r="G314">
        <v>2011</v>
      </c>
      <c r="I314" t="str">
        <f>VLOOKUP(G314,Kostenstellen!$A$1:$C$17,2,0)</f>
        <v>Elsner</v>
      </c>
    </row>
    <row r="315" spans="1:9" x14ac:dyDescent="0.2">
      <c r="A315">
        <v>6072</v>
      </c>
      <c r="B315" s="7">
        <v>45869</v>
      </c>
      <c r="C315" t="s">
        <v>371</v>
      </c>
      <c r="D315">
        <v>202507</v>
      </c>
      <c r="E315">
        <v>239</v>
      </c>
      <c r="G315">
        <v>2001</v>
      </c>
      <c r="I315" t="str">
        <f>VLOOKUP(G315,Kostenstellen!$A$1:$C$17,2,0)</f>
        <v>Koch Martin</v>
      </c>
    </row>
    <row r="316" spans="1:9" x14ac:dyDescent="0.2">
      <c r="A316">
        <v>6072</v>
      </c>
      <c r="B316" s="7">
        <v>45869</v>
      </c>
      <c r="C316" t="s">
        <v>371</v>
      </c>
      <c r="D316">
        <v>202507</v>
      </c>
      <c r="E316">
        <v>320</v>
      </c>
      <c r="G316">
        <v>2011</v>
      </c>
      <c r="I316" t="str">
        <f>VLOOKUP(G316,Kostenstellen!$A$1:$C$17,2,0)</f>
        <v>Elsner</v>
      </c>
    </row>
    <row r="317" spans="1:9" x14ac:dyDescent="0.2">
      <c r="A317">
        <v>6072</v>
      </c>
      <c r="B317" s="7">
        <v>45900</v>
      </c>
      <c r="C317" t="s">
        <v>371</v>
      </c>
      <c r="D317">
        <v>202508</v>
      </c>
      <c r="E317">
        <v>239</v>
      </c>
      <c r="G317">
        <v>2001</v>
      </c>
      <c r="I317" t="str">
        <f>VLOOKUP(G317,Kostenstellen!$A$1:$C$17,2,0)</f>
        <v>Koch Martin</v>
      </c>
    </row>
    <row r="318" spans="1:9" x14ac:dyDescent="0.2">
      <c r="A318">
        <v>6072</v>
      </c>
      <c r="B318" s="7">
        <v>45900</v>
      </c>
      <c r="C318" t="s">
        <v>371</v>
      </c>
      <c r="D318">
        <v>202508</v>
      </c>
      <c r="E318">
        <v>320</v>
      </c>
      <c r="G318">
        <v>2011</v>
      </c>
      <c r="I318" t="str">
        <f>VLOOKUP(G318,Kostenstellen!$A$1:$C$17,2,0)</f>
        <v>Elsner</v>
      </c>
    </row>
    <row r="319" spans="1:9" x14ac:dyDescent="0.2">
      <c r="A319">
        <v>6072</v>
      </c>
      <c r="B319" s="7">
        <v>45930</v>
      </c>
      <c r="C319" t="s">
        <v>371</v>
      </c>
      <c r="D319">
        <v>202509</v>
      </c>
      <c r="E319">
        <v>239</v>
      </c>
      <c r="G319">
        <v>2001</v>
      </c>
      <c r="I319" t="str">
        <f>VLOOKUP(G319,Kostenstellen!$A$1:$C$17,2,0)</f>
        <v>Koch Martin</v>
      </c>
    </row>
    <row r="320" spans="1:9" x14ac:dyDescent="0.2">
      <c r="A320">
        <v>6072</v>
      </c>
      <c r="B320" s="7">
        <v>45930</v>
      </c>
      <c r="C320" t="s">
        <v>371</v>
      </c>
      <c r="D320">
        <v>202509</v>
      </c>
      <c r="E320">
        <v>320</v>
      </c>
      <c r="G320">
        <v>2011</v>
      </c>
      <c r="I320" t="str">
        <f>VLOOKUP(G320,Kostenstellen!$A$1:$C$17,2,0)</f>
        <v>Elsner</v>
      </c>
    </row>
    <row r="321" spans="1:9" x14ac:dyDescent="0.2">
      <c r="A321">
        <v>6072</v>
      </c>
      <c r="B321" s="7">
        <v>45961</v>
      </c>
      <c r="C321" t="s">
        <v>371</v>
      </c>
      <c r="D321">
        <v>202510</v>
      </c>
      <c r="E321">
        <v>239</v>
      </c>
      <c r="G321">
        <v>2001</v>
      </c>
      <c r="I321" t="str">
        <f>VLOOKUP(G321,Kostenstellen!$A$1:$C$17,2,0)</f>
        <v>Koch Martin</v>
      </c>
    </row>
    <row r="322" spans="1:9" x14ac:dyDescent="0.2">
      <c r="A322">
        <v>6072</v>
      </c>
      <c r="B322" s="7">
        <v>45961</v>
      </c>
      <c r="C322" t="s">
        <v>371</v>
      </c>
      <c r="D322">
        <v>202510</v>
      </c>
      <c r="E322">
        <v>320</v>
      </c>
      <c r="G322">
        <v>2011</v>
      </c>
      <c r="I322" t="str">
        <f>VLOOKUP(G322,Kostenstellen!$A$1:$C$17,2,0)</f>
        <v>Elsner</v>
      </c>
    </row>
    <row r="323" spans="1:9" x14ac:dyDescent="0.2">
      <c r="A323">
        <v>6072</v>
      </c>
      <c r="B323" s="7">
        <v>45991</v>
      </c>
      <c r="C323" t="s">
        <v>371</v>
      </c>
      <c r="D323">
        <v>202511</v>
      </c>
      <c r="E323">
        <v>239</v>
      </c>
      <c r="G323">
        <v>2001</v>
      </c>
      <c r="I323" t="str">
        <f>VLOOKUP(G323,Kostenstellen!$A$1:$C$17,2,0)</f>
        <v>Koch Martin</v>
      </c>
    </row>
    <row r="324" spans="1:9" x14ac:dyDescent="0.2">
      <c r="A324">
        <v>6072</v>
      </c>
      <c r="B324" s="7">
        <v>45991</v>
      </c>
      <c r="C324" t="s">
        <v>371</v>
      </c>
      <c r="D324">
        <v>202511</v>
      </c>
      <c r="E324">
        <v>320</v>
      </c>
      <c r="G324">
        <v>2011</v>
      </c>
      <c r="I324" t="str">
        <f>VLOOKUP(G324,Kostenstellen!$A$1:$C$17,2,0)</f>
        <v>Elsner</v>
      </c>
    </row>
    <row r="325" spans="1:9" x14ac:dyDescent="0.2">
      <c r="A325">
        <v>6072</v>
      </c>
      <c r="B325" s="7">
        <v>46022</v>
      </c>
      <c r="C325" t="s">
        <v>371</v>
      </c>
      <c r="D325">
        <v>202512</v>
      </c>
      <c r="E325">
        <v>239</v>
      </c>
      <c r="G325">
        <v>2001</v>
      </c>
      <c r="I325" t="str">
        <f>VLOOKUP(G325,Kostenstellen!$A$1:$C$17,2,0)</f>
        <v>Koch Martin</v>
      </c>
    </row>
    <row r="326" spans="1:9" x14ac:dyDescent="0.2">
      <c r="A326">
        <v>6072</v>
      </c>
      <c r="B326" s="7">
        <v>46022</v>
      </c>
      <c r="C326" t="s">
        <v>371</v>
      </c>
      <c r="D326">
        <v>202512</v>
      </c>
      <c r="E326">
        <v>320</v>
      </c>
      <c r="G326">
        <v>2011</v>
      </c>
      <c r="I326" t="str">
        <f>VLOOKUP(G326,Kostenstellen!$A$1:$C$17,2,0)</f>
        <v>Elsner</v>
      </c>
    </row>
    <row r="327" spans="1:9" x14ac:dyDescent="0.2">
      <c r="A327">
        <v>6090</v>
      </c>
      <c r="B327" s="7">
        <v>45688</v>
      </c>
      <c r="C327" t="s">
        <v>372</v>
      </c>
      <c r="D327">
        <v>202501</v>
      </c>
      <c r="E327">
        <v>14.5</v>
      </c>
      <c r="G327">
        <v>2014</v>
      </c>
      <c r="I327" t="str">
        <f>VLOOKUP(G327,Kostenstellen!$A$1:$C$17,2,0)</f>
        <v>Buzik</v>
      </c>
    </row>
    <row r="328" spans="1:9" x14ac:dyDescent="0.2">
      <c r="A328">
        <v>6090</v>
      </c>
      <c r="B328" s="7">
        <v>45688</v>
      </c>
      <c r="C328" t="s">
        <v>372</v>
      </c>
      <c r="D328">
        <v>202501</v>
      </c>
      <c r="F328">
        <v>2.76</v>
      </c>
      <c r="G328">
        <v>2001</v>
      </c>
      <c r="I328" t="str">
        <f>VLOOKUP(G328,Kostenstellen!$A$1:$C$17,2,0)</f>
        <v>Koch Martin</v>
      </c>
    </row>
    <row r="329" spans="1:9" x14ac:dyDescent="0.2">
      <c r="A329">
        <v>6090</v>
      </c>
      <c r="B329" s="7">
        <v>45716</v>
      </c>
      <c r="C329" t="s">
        <v>372</v>
      </c>
      <c r="D329">
        <v>202502</v>
      </c>
      <c r="E329">
        <v>0.92</v>
      </c>
      <c r="G329">
        <v>2001</v>
      </c>
      <c r="I329" t="str">
        <f>VLOOKUP(G329,Kostenstellen!$A$1:$C$17,2,0)</f>
        <v>Koch Martin</v>
      </c>
    </row>
    <row r="330" spans="1:9" x14ac:dyDescent="0.2">
      <c r="A330">
        <v>6090</v>
      </c>
      <c r="B330" s="7">
        <v>45716</v>
      </c>
      <c r="C330" t="s">
        <v>372</v>
      </c>
      <c r="D330">
        <v>202502</v>
      </c>
      <c r="E330">
        <v>14.5</v>
      </c>
      <c r="G330">
        <v>2014</v>
      </c>
      <c r="I330" t="str">
        <f>VLOOKUP(G330,Kostenstellen!$A$1:$C$17,2,0)</f>
        <v>Buzik</v>
      </c>
    </row>
    <row r="331" spans="1:9" x14ac:dyDescent="0.2">
      <c r="A331">
        <v>6090</v>
      </c>
      <c r="B331" s="7">
        <v>45747</v>
      </c>
      <c r="C331" t="s">
        <v>372</v>
      </c>
      <c r="D331">
        <v>202503</v>
      </c>
      <c r="E331">
        <v>0.92</v>
      </c>
      <c r="G331">
        <v>2001</v>
      </c>
      <c r="I331" t="str">
        <f>VLOOKUP(G331,Kostenstellen!$A$1:$C$17,2,0)</f>
        <v>Koch Martin</v>
      </c>
    </row>
    <row r="332" spans="1:9" x14ac:dyDescent="0.2">
      <c r="A332">
        <v>6090</v>
      </c>
      <c r="B332" s="7">
        <v>45747</v>
      </c>
      <c r="C332" t="s">
        <v>372</v>
      </c>
      <c r="D332">
        <v>202503</v>
      </c>
      <c r="E332">
        <v>14.5</v>
      </c>
      <c r="G332">
        <v>2014</v>
      </c>
      <c r="I332" t="str">
        <f>VLOOKUP(G332,Kostenstellen!$A$1:$C$17,2,0)</f>
        <v>Buzik</v>
      </c>
    </row>
    <row r="333" spans="1:9" x14ac:dyDescent="0.2">
      <c r="A333">
        <v>6090</v>
      </c>
      <c r="B333" s="7">
        <v>45777</v>
      </c>
      <c r="C333" t="s">
        <v>372</v>
      </c>
      <c r="D333">
        <v>202504</v>
      </c>
      <c r="E333">
        <v>2.76</v>
      </c>
      <c r="G333">
        <v>2001</v>
      </c>
      <c r="I333" t="str">
        <f>VLOOKUP(G333,Kostenstellen!$A$1:$C$17,2,0)</f>
        <v>Koch Martin</v>
      </c>
    </row>
    <row r="334" spans="1:9" x14ac:dyDescent="0.2">
      <c r="A334">
        <v>6090</v>
      </c>
      <c r="B334" s="7">
        <v>45777</v>
      </c>
      <c r="C334" t="s">
        <v>372</v>
      </c>
      <c r="D334">
        <v>202504</v>
      </c>
      <c r="E334">
        <v>14.5</v>
      </c>
      <c r="G334">
        <v>2014</v>
      </c>
      <c r="I334" t="str">
        <f>VLOOKUP(G334,Kostenstellen!$A$1:$C$17,2,0)</f>
        <v>Buzik</v>
      </c>
    </row>
    <row r="335" spans="1:9" x14ac:dyDescent="0.2">
      <c r="A335">
        <v>6090</v>
      </c>
      <c r="B335" s="7">
        <v>45808</v>
      </c>
      <c r="C335" t="s">
        <v>372</v>
      </c>
      <c r="D335">
        <v>202505</v>
      </c>
      <c r="E335">
        <v>14.5</v>
      </c>
      <c r="G335">
        <v>2014</v>
      </c>
      <c r="I335" t="str">
        <f>VLOOKUP(G335,Kostenstellen!$A$1:$C$17,2,0)</f>
        <v>Buzik</v>
      </c>
    </row>
    <row r="336" spans="1:9" x14ac:dyDescent="0.2">
      <c r="A336">
        <v>6090</v>
      </c>
      <c r="B336" s="7">
        <v>45808</v>
      </c>
      <c r="C336" t="s">
        <v>372</v>
      </c>
      <c r="D336">
        <v>202505</v>
      </c>
      <c r="F336">
        <v>1.84</v>
      </c>
      <c r="G336">
        <v>2001</v>
      </c>
      <c r="I336" t="str">
        <f>VLOOKUP(G336,Kostenstellen!$A$1:$C$17,2,0)</f>
        <v>Koch Martin</v>
      </c>
    </row>
    <row r="337" spans="1:9" x14ac:dyDescent="0.2">
      <c r="A337">
        <v>6090</v>
      </c>
      <c r="B337" s="7">
        <v>45838</v>
      </c>
      <c r="C337" t="s">
        <v>372</v>
      </c>
      <c r="D337">
        <v>202506</v>
      </c>
      <c r="E337">
        <v>14.5</v>
      </c>
      <c r="G337">
        <v>2014</v>
      </c>
      <c r="I337" t="str">
        <f>VLOOKUP(G337,Kostenstellen!$A$1:$C$17,2,0)</f>
        <v>Buzik</v>
      </c>
    </row>
    <row r="338" spans="1:9" x14ac:dyDescent="0.2">
      <c r="A338">
        <v>6090</v>
      </c>
      <c r="B338" s="7">
        <v>45869</v>
      </c>
      <c r="C338" t="s">
        <v>372</v>
      </c>
      <c r="D338">
        <v>202507</v>
      </c>
      <c r="E338">
        <v>1.84</v>
      </c>
      <c r="G338">
        <v>2001</v>
      </c>
      <c r="I338" t="str">
        <f>VLOOKUP(G338,Kostenstellen!$A$1:$C$17,2,0)</f>
        <v>Koch Martin</v>
      </c>
    </row>
    <row r="339" spans="1:9" x14ac:dyDescent="0.2">
      <c r="A339">
        <v>6090</v>
      </c>
      <c r="B339" s="7">
        <v>45869</v>
      </c>
      <c r="C339" t="s">
        <v>372</v>
      </c>
      <c r="D339">
        <v>202507</v>
      </c>
      <c r="E339">
        <v>14.5</v>
      </c>
      <c r="G339">
        <v>2014</v>
      </c>
      <c r="I339" t="str">
        <f>VLOOKUP(G339,Kostenstellen!$A$1:$C$17,2,0)</f>
        <v>Buzik</v>
      </c>
    </row>
    <row r="340" spans="1:9" x14ac:dyDescent="0.2">
      <c r="A340">
        <v>6090</v>
      </c>
      <c r="B340" s="7">
        <v>45900</v>
      </c>
      <c r="C340" t="s">
        <v>372</v>
      </c>
      <c r="D340">
        <v>202508</v>
      </c>
      <c r="E340">
        <v>14.5</v>
      </c>
      <c r="G340">
        <v>2014</v>
      </c>
      <c r="I340" t="str">
        <f>VLOOKUP(G340,Kostenstellen!$A$1:$C$17,2,0)</f>
        <v>Buzik</v>
      </c>
    </row>
    <row r="341" spans="1:9" x14ac:dyDescent="0.2">
      <c r="A341">
        <v>6090</v>
      </c>
      <c r="B341" s="7">
        <v>45900</v>
      </c>
      <c r="C341" t="s">
        <v>372</v>
      </c>
      <c r="D341">
        <v>202508</v>
      </c>
      <c r="F341">
        <v>0.92</v>
      </c>
      <c r="G341">
        <v>2001</v>
      </c>
      <c r="I341" t="str">
        <f>VLOOKUP(G341,Kostenstellen!$A$1:$C$17,2,0)</f>
        <v>Koch Martin</v>
      </c>
    </row>
    <row r="342" spans="1:9" x14ac:dyDescent="0.2">
      <c r="A342">
        <v>6090</v>
      </c>
      <c r="B342" s="7">
        <v>45930</v>
      </c>
      <c r="C342" t="s">
        <v>372</v>
      </c>
      <c r="D342">
        <v>202509</v>
      </c>
      <c r="E342">
        <v>14.5</v>
      </c>
      <c r="G342">
        <v>2014</v>
      </c>
      <c r="I342" t="str">
        <f>VLOOKUP(G342,Kostenstellen!$A$1:$C$17,2,0)</f>
        <v>Buzik</v>
      </c>
    </row>
    <row r="343" spans="1:9" x14ac:dyDescent="0.2">
      <c r="A343">
        <v>6090</v>
      </c>
      <c r="B343" s="7">
        <v>45930</v>
      </c>
      <c r="C343" t="s">
        <v>372</v>
      </c>
      <c r="D343">
        <v>202509</v>
      </c>
      <c r="E343">
        <v>14.5</v>
      </c>
      <c r="G343">
        <v>2017</v>
      </c>
      <c r="I343" t="str">
        <f>VLOOKUP(G343,Kostenstellen!$A$1:$C$17,2,0)</f>
        <v>Hartmann</v>
      </c>
    </row>
    <row r="344" spans="1:9" x14ac:dyDescent="0.2">
      <c r="A344">
        <v>6090</v>
      </c>
      <c r="B344" s="7">
        <v>45961</v>
      </c>
      <c r="C344" t="s">
        <v>372</v>
      </c>
      <c r="D344">
        <v>202510</v>
      </c>
      <c r="E344">
        <v>14.5</v>
      </c>
      <c r="G344">
        <v>2014</v>
      </c>
      <c r="I344" t="str">
        <f>VLOOKUP(G344,Kostenstellen!$A$1:$C$17,2,0)</f>
        <v>Buzik</v>
      </c>
    </row>
    <row r="345" spans="1:9" x14ac:dyDescent="0.2">
      <c r="A345">
        <v>6090</v>
      </c>
      <c r="B345" s="7">
        <v>45961</v>
      </c>
      <c r="C345" t="s">
        <v>372</v>
      </c>
      <c r="D345">
        <v>202510</v>
      </c>
      <c r="E345">
        <v>14.5</v>
      </c>
      <c r="G345">
        <v>2017</v>
      </c>
      <c r="I345" t="str">
        <f>VLOOKUP(G345,Kostenstellen!$A$1:$C$17,2,0)</f>
        <v>Hartmann</v>
      </c>
    </row>
    <row r="346" spans="1:9" x14ac:dyDescent="0.2">
      <c r="A346">
        <v>6090</v>
      </c>
      <c r="B346" s="7">
        <v>45991</v>
      </c>
      <c r="C346" t="s">
        <v>372</v>
      </c>
      <c r="D346">
        <v>202511</v>
      </c>
      <c r="E346">
        <v>7.36</v>
      </c>
      <c r="G346">
        <v>2001</v>
      </c>
      <c r="I346" t="str">
        <f>VLOOKUP(G346,Kostenstellen!$A$1:$C$17,2,0)</f>
        <v>Koch Martin</v>
      </c>
    </row>
    <row r="347" spans="1:9" x14ac:dyDescent="0.2">
      <c r="A347">
        <v>6090</v>
      </c>
      <c r="B347" s="7">
        <v>45991</v>
      </c>
      <c r="C347" t="s">
        <v>372</v>
      </c>
      <c r="D347">
        <v>202511</v>
      </c>
      <c r="E347">
        <v>14.5</v>
      </c>
      <c r="G347">
        <v>2014</v>
      </c>
      <c r="I347" t="str">
        <f>VLOOKUP(G347,Kostenstellen!$A$1:$C$17,2,0)</f>
        <v>Buzik</v>
      </c>
    </row>
    <row r="348" spans="1:9" x14ac:dyDescent="0.2">
      <c r="A348">
        <v>6090</v>
      </c>
      <c r="B348" s="7">
        <v>45991</v>
      </c>
      <c r="C348" t="s">
        <v>372</v>
      </c>
      <c r="D348">
        <v>202511</v>
      </c>
      <c r="E348">
        <v>14.5</v>
      </c>
      <c r="G348">
        <v>2017</v>
      </c>
      <c r="I348" t="str">
        <f>VLOOKUP(G348,Kostenstellen!$A$1:$C$17,2,0)</f>
        <v>Hartmann</v>
      </c>
    </row>
    <row r="349" spans="1:9" x14ac:dyDescent="0.2">
      <c r="A349">
        <v>6090</v>
      </c>
      <c r="B349" s="7">
        <v>46022</v>
      </c>
      <c r="C349" t="s">
        <v>372</v>
      </c>
      <c r="D349">
        <v>202512</v>
      </c>
      <c r="E349">
        <v>0.92</v>
      </c>
      <c r="G349">
        <v>2001</v>
      </c>
      <c r="I349" t="str">
        <f>VLOOKUP(G349,Kostenstellen!$A$1:$C$17,2,0)</f>
        <v>Koch Martin</v>
      </c>
    </row>
    <row r="350" spans="1:9" x14ac:dyDescent="0.2">
      <c r="A350">
        <v>6090</v>
      </c>
      <c r="B350" s="7">
        <v>46022</v>
      </c>
      <c r="C350" t="s">
        <v>372</v>
      </c>
      <c r="D350">
        <v>202512</v>
      </c>
      <c r="E350">
        <v>14.5</v>
      </c>
      <c r="G350">
        <v>2014</v>
      </c>
      <c r="I350" t="str">
        <f>VLOOKUP(G350,Kostenstellen!$A$1:$C$17,2,0)</f>
        <v>Buzik</v>
      </c>
    </row>
    <row r="351" spans="1:9" x14ac:dyDescent="0.2">
      <c r="A351">
        <v>6090</v>
      </c>
      <c r="B351" s="7">
        <v>46022</v>
      </c>
      <c r="C351" t="s">
        <v>372</v>
      </c>
      <c r="D351">
        <v>202512</v>
      </c>
      <c r="E351">
        <v>14.5</v>
      </c>
      <c r="G351">
        <v>2017</v>
      </c>
      <c r="I351" t="str">
        <f>VLOOKUP(G351,Kostenstellen!$A$1:$C$17,2,0)</f>
        <v>Hartmann</v>
      </c>
    </row>
    <row r="352" spans="1:9" x14ac:dyDescent="0.2">
      <c r="A352">
        <v>6110</v>
      </c>
      <c r="B352" s="7">
        <v>45688</v>
      </c>
      <c r="C352" t="s">
        <v>373</v>
      </c>
      <c r="D352">
        <v>202501</v>
      </c>
      <c r="E352" s="6">
        <v>1506.07</v>
      </c>
      <c r="G352">
        <v>2001</v>
      </c>
      <c r="I352" t="str">
        <f>VLOOKUP(G352,Kostenstellen!$A$1:$C$17,2,0)</f>
        <v>Koch Martin</v>
      </c>
    </row>
    <row r="353" spans="1:9" x14ac:dyDescent="0.2">
      <c r="A353">
        <v>6110</v>
      </c>
      <c r="B353" s="7">
        <v>45688</v>
      </c>
      <c r="C353" t="s">
        <v>373</v>
      </c>
      <c r="D353">
        <v>202501</v>
      </c>
      <c r="E353" s="6">
        <v>1455.17</v>
      </c>
      <c r="G353">
        <v>2011</v>
      </c>
      <c r="I353" t="str">
        <f>VLOOKUP(G353,Kostenstellen!$A$1:$C$17,2,0)</f>
        <v>Elsner</v>
      </c>
    </row>
    <row r="354" spans="1:9" x14ac:dyDescent="0.2">
      <c r="A354">
        <v>6110</v>
      </c>
      <c r="B354" s="7">
        <v>45688</v>
      </c>
      <c r="C354" t="s">
        <v>373</v>
      </c>
      <c r="D354">
        <v>202501</v>
      </c>
      <c r="E354">
        <v>697.05</v>
      </c>
      <c r="G354">
        <v>2012</v>
      </c>
      <c r="I354" t="str">
        <f>VLOOKUP(G354,Kostenstellen!$A$1:$C$17,2,0)</f>
        <v>Weingartz</v>
      </c>
    </row>
    <row r="355" spans="1:9" x14ac:dyDescent="0.2">
      <c r="A355">
        <v>6110</v>
      </c>
      <c r="B355" s="7">
        <v>45688</v>
      </c>
      <c r="C355" t="s">
        <v>373</v>
      </c>
      <c r="D355">
        <v>202501</v>
      </c>
      <c r="E355">
        <v>943</v>
      </c>
      <c r="G355">
        <v>2014</v>
      </c>
      <c r="I355" t="str">
        <f>VLOOKUP(G355,Kostenstellen!$A$1:$C$17,2,0)</f>
        <v>Buzik</v>
      </c>
    </row>
    <row r="356" spans="1:9" x14ac:dyDescent="0.2">
      <c r="A356">
        <v>6110</v>
      </c>
      <c r="B356" s="7">
        <v>45688</v>
      </c>
      <c r="C356" t="s">
        <v>373</v>
      </c>
      <c r="D356">
        <v>202501</v>
      </c>
      <c r="E356">
        <v>777.24</v>
      </c>
      <c r="G356">
        <v>2015</v>
      </c>
      <c r="I356" t="str">
        <f>VLOOKUP(G356,Kostenstellen!$A$1:$C$17,2,0)</f>
        <v>McDade</v>
      </c>
    </row>
    <row r="357" spans="1:9" x14ac:dyDescent="0.2">
      <c r="A357">
        <v>6110</v>
      </c>
      <c r="B357" s="7">
        <v>45688</v>
      </c>
      <c r="C357" t="s">
        <v>373</v>
      </c>
      <c r="D357">
        <v>202501</v>
      </c>
      <c r="E357" s="6">
        <v>1372.42</v>
      </c>
      <c r="G357">
        <v>2017</v>
      </c>
      <c r="I357" t="str">
        <f>VLOOKUP(G357,Kostenstellen!$A$1:$C$17,2,0)</f>
        <v>Hartmann</v>
      </c>
    </row>
    <row r="358" spans="1:9" x14ac:dyDescent="0.2">
      <c r="A358">
        <v>6110</v>
      </c>
      <c r="B358" s="7">
        <v>45688</v>
      </c>
      <c r="C358" t="s">
        <v>373</v>
      </c>
      <c r="D358">
        <v>202501</v>
      </c>
      <c r="E358">
        <v>993.55</v>
      </c>
      <c r="G358">
        <v>2018</v>
      </c>
      <c r="I358" t="str">
        <f>VLOOKUP(G358,Kostenstellen!$A$1:$C$17,2,0)</f>
        <v>Ali Lara</v>
      </c>
    </row>
    <row r="359" spans="1:9" x14ac:dyDescent="0.2">
      <c r="A359">
        <v>6110</v>
      </c>
      <c r="B359" s="7">
        <v>45716</v>
      </c>
      <c r="C359" t="s">
        <v>373</v>
      </c>
      <c r="D359">
        <v>202502</v>
      </c>
      <c r="E359" s="6">
        <v>1506.56</v>
      </c>
      <c r="G359">
        <v>2001</v>
      </c>
      <c r="I359" t="str">
        <f>VLOOKUP(G359,Kostenstellen!$A$1:$C$17,2,0)</f>
        <v>Koch Martin</v>
      </c>
    </row>
    <row r="360" spans="1:9" x14ac:dyDescent="0.2">
      <c r="A360">
        <v>6110</v>
      </c>
      <c r="B360" s="7">
        <v>45716</v>
      </c>
      <c r="C360" t="s">
        <v>373</v>
      </c>
      <c r="D360">
        <v>202502</v>
      </c>
      <c r="E360" s="6">
        <v>1664.67</v>
      </c>
      <c r="G360">
        <v>2011</v>
      </c>
      <c r="I360" t="str">
        <f>VLOOKUP(G360,Kostenstellen!$A$1:$C$17,2,0)</f>
        <v>Elsner</v>
      </c>
    </row>
    <row r="361" spans="1:9" x14ac:dyDescent="0.2">
      <c r="A361">
        <v>6110</v>
      </c>
      <c r="B361" s="7">
        <v>45716</v>
      </c>
      <c r="C361" t="s">
        <v>373</v>
      </c>
      <c r="D361">
        <v>202502</v>
      </c>
      <c r="E361">
        <v>697.05</v>
      </c>
      <c r="G361">
        <v>2012</v>
      </c>
      <c r="I361" t="str">
        <f>VLOOKUP(G361,Kostenstellen!$A$1:$C$17,2,0)</f>
        <v>Weingartz</v>
      </c>
    </row>
    <row r="362" spans="1:9" x14ac:dyDescent="0.2">
      <c r="A362">
        <v>6110</v>
      </c>
      <c r="B362" s="7">
        <v>45716</v>
      </c>
      <c r="C362" t="s">
        <v>373</v>
      </c>
      <c r="D362">
        <v>202502</v>
      </c>
      <c r="E362">
        <v>943</v>
      </c>
      <c r="G362">
        <v>2014</v>
      </c>
      <c r="I362" t="str">
        <f>VLOOKUP(G362,Kostenstellen!$A$1:$C$17,2,0)</f>
        <v>Buzik</v>
      </c>
    </row>
    <row r="363" spans="1:9" x14ac:dyDescent="0.2">
      <c r="A363">
        <v>6110</v>
      </c>
      <c r="B363" s="7">
        <v>45716</v>
      </c>
      <c r="C363" t="s">
        <v>373</v>
      </c>
      <c r="D363">
        <v>202502</v>
      </c>
      <c r="E363">
        <v>777.24</v>
      </c>
      <c r="G363">
        <v>2015</v>
      </c>
      <c r="I363" t="str">
        <f>VLOOKUP(G363,Kostenstellen!$A$1:$C$17,2,0)</f>
        <v>McDade</v>
      </c>
    </row>
    <row r="364" spans="1:9" x14ac:dyDescent="0.2">
      <c r="A364">
        <v>6110</v>
      </c>
      <c r="B364" s="7">
        <v>45716</v>
      </c>
      <c r="C364" t="s">
        <v>373</v>
      </c>
      <c r="D364">
        <v>202502</v>
      </c>
      <c r="E364" s="6">
        <v>1372.42</v>
      </c>
      <c r="G364">
        <v>2017</v>
      </c>
      <c r="I364" t="str">
        <f>VLOOKUP(G364,Kostenstellen!$A$1:$C$17,2,0)</f>
        <v>Hartmann</v>
      </c>
    </row>
    <row r="365" spans="1:9" x14ac:dyDescent="0.2">
      <c r="A365">
        <v>6110</v>
      </c>
      <c r="B365" s="7">
        <v>45716</v>
      </c>
      <c r="C365" t="s">
        <v>373</v>
      </c>
      <c r="D365">
        <v>202502</v>
      </c>
      <c r="E365">
        <v>993.55</v>
      </c>
      <c r="G365">
        <v>2018</v>
      </c>
      <c r="I365" t="str">
        <f>VLOOKUP(G365,Kostenstellen!$A$1:$C$17,2,0)</f>
        <v>Ali Lara</v>
      </c>
    </row>
    <row r="366" spans="1:9" x14ac:dyDescent="0.2">
      <c r="A366">
        <v>6110</v>
      </c>
      <c r="B366" s="7">
        <v>45747</v>
      </c>
      <c r="C366" t="s">
        <v>373</v>
      </c>
      <c r="D366">
        <v>202503</v>
      </c>
      <c r="E366" s="6">
        <v>1506.56</v>
      </c>
      <c r="G366">
        <v>2001</v>
      </c>
      <c r="I366" t="str">
        <f>VLOOKUP(G366,Kostenstellen!$A$1:$C$17,2,0)</f>
        <v>Koch Martin</v>
      </c>
    </row>
    <row r="367" spans="1:9" x14ac:dyDescent="0.2">
      <c r="A367">
        <v>6110</v>
      </c>
      <c r="B367" s="7">
        <v>45747</v>
      </c>
      <c r="C367" t="s">
        <v>373</v>
      </c>
      <c r="D367">
        <v>202503</v>
      </c>
      <c r="E367" s="6">
        <v>1559.92</v>
      </c>
      <c r="G367">
        <v>2011</v>
      </c>
      <c r="I367" t="str">
        <f>VLOOKUP(G367,Kostenstellen!$A$1:$C$17,2,0)</f>
        <v>Elsner</v>
      </c>
    </row>
    <row r="368" spans="1:9" x14ac:dyDescent="0.2">
      <c r="A368">
        <v>6110</v>
      </c>
      <c r="B368" s="7">
        <v>45747</v>
      </c>
      <c r="C368" t="s">
        <v>373</v>
      </c>
      <c r="D368">
        <v>202503</v>
      </c>
      <c r="E368">
        <v>697.05</v>
      </c>
      <c r="G368">
        <v>2012</v>
      </c>
      <c r="I368" t="str">
        <f>VLOOKUP(G368,Kostenstellen!$A$1:$C$17,2,0)</f>
        <v>Weingartz</v>
      </c>
    </row>
    <row r="369" spans="1:9" x14ac:dyDescent="0.2">
      <c r="A369">
        <v>6110</v>
      </c>
      <c r="B369" s="7">
        <v>45747</v>
      </c>
      <c r="C369" t="s">
        <v>373</v>
      </c>
      <c r="D369">
        <v>202503</v>
      </c>
      <c r="E369">
        <v>943</v>
      </c>
      <c r="G369">
        <v>2014</v>
      </c>
      <c r="I369" t="str">
        <f>VLOOKUP(G369,Kostenstellen!$A$1:$C$17,2,0)</f>
        <v>Buzik</v>
      </c>
    </row>
    <row r="370" spans="1:9" x14ac:dyDescent="0.2">
      <c r="A370">
        <v>6110</v>
      </c>
      <c r="B370" s="7">
        <v>45747</v>
      </c>
      <c r="C370" t="s">
        <v>373</v>
      </c>
      <c r="D370">
        <v>202503</v>
      </c>
      <c r="E370">
        <v>777.24</v>
      </c>
      <c r="G370">
        <v>2015</v>
      </c>
      <c r="I370" t="str">
        <f>VLOOKUP(G370,Kostenstellen!$A$1:$C$17,2,0)</f>
        <v>McDade</v>
      </c>
    </row>
    <row r="371" spans="1:9" x14ac:dyDescent="0.2">
      <c r="A371">
        <v>6110</v>
      </c>
      <c r="B371" s="7">
        <v>45747</v>
      </c>
      <c r="C371" t="s">
        <v>373</v>
      </c>
      <c r="D371">
        <v>202503</v>
      </c>
      <c r="E371" s="6">
        <v>1916.58</v>
      </c>
      <c r="G371">
        <v>2017</v>
      </c>
      <c r="I371" t="str">
        <f>VLOOKUP(G371,Kostenstellen!$A$1:$C$17,2,0)</f>
        <v>Hartmann</v>
      </c>
    </row>
    <row r="372" spans="1:9" x14ac:dyDescent="0.2">
      <c r="A372">
        <v>6110</v>
      </c>
      <c r="B372" s="7">
        <v>45747</v>
      </c>
      <c r="C372" t="s">
        <v>373</v>
      </c>
      <c r="D372">
        <v>202503</v>
      </c>
      <c r="E372">
        <v>993.55</v>
      </c>
      <c r="G372">
        <v>2018</v>
      </c>
      <c r="I372" t="str">
        <f>VLOOKUP(G372,Kostenstellen!$A$1:$C$17,2,0)</f>
        <v>Ali Lara</v>
      </c>
    </row>
    <row r="373" spans="1:9" x14ac:dyDescent="0.2">
      <c r="A373">
        <v>6110</v>
      </c>
      <c r="B373" s="7">
        <v>45777</v>
      </c>
      <c r="C373" t="s">
        <v>373</v>
      </c>
      <c r="D373">
        <v>202504</v>
      </c>
      <c r="E373" s="6">
        <v>1506.78</v>
      </c>
      <c r="G373">
        <v>2001</v>
      </c>
      <c r="I373" t="str">
        <f>VLOOKUP(G373,Kostenstellen!$A$1:$C$17,2,0)</f>
        <v>Koch Martin</v>
      </c>
    </row>
    <row r="374" spans="1:9" x14ac:dyDescent="0.2">
      <c r="A374">
        <v>6110</v>
      </c>
      <c r="B374" s="7">
        <v>45777</v>
      </c>
      <c r="C374" t="s">
        <v>373</v>
      </c>
      <c r="D374">
        <v>202504</v>
      </c>
      <c r="E374" s="6">
        <v>1559.92</v>
      </c>
      <c r="G374">
        <v>2011</v>
      </c>
      <c r="I374" t="str">
        <f>VLOOKUP(G374,Kostenstellen!$A$1:$C$17,2,0)</f>
        <v>Elsner</v>
      </c>
    </row>
    <row r="375" spans="1:9" x14ac:dyDescent="0.2">
      <c r="A375">
        <v>6110</v>
      </c>
      <c r="B375" s="7">
        <v>45777</v>
      </c>
      <c r="C375" t="s">
        <v>373</v>
      </c>
      <c r="D375">
        <v>202504</v>
      </c>
      <c r="E375">
        <v>697.05</v>
      </c>
      <c r="G375">
        <v>2012</v>
      </c>
      <c r="I375" t="str">
        <f>VLOOKUP(G375,Kostenstellen!$A$1:$C$17,2,0)</f>
        <v>Weingartz</v>
      </c>
    </row>
    <row r="376" spans="1:9" x14ac:dyDescent="0.2">
      <c r="A376">
        <v>6110</v>
      </c>
      <c r="B376" s="7">
        <v>45777</v>
      </c>
      <c r="C376" t="s">
        <v>373</v>
      </c>
      <c r="D376">
        <v>202504</v>
      </c>
      <c r="E376">
        <v>943</v>
      </c>
      <c r="G376">
        <v>2014</v>
      </c>
      <c r="I376" t="str">
        <f>VLOOKUP(G376,Kostenstellen!$A$1:$C$17,2,0)</f>
        <v>Buzik</v>
      </c>
    </row>
    <row r="377" spans="1:9" x14ac:dyDescent="0.2">
      <c r="A377">
        <v>6110</v>
      </c>
      <c r="B377" s="7">
        <v>45777</v>
      </c>
      <c r="C377" t="s">
        <v>373</v>
      </c>
      <c r="D377">
        <v>202504</v>
      </c>
      <c r="E377">
        <v>777.24</v>
      </c>
      <c r="G377">
        <v>2015</v>
      </c>
      <c r="I377" t="str">
        <f>VLOOKUP(G377,Kostenstellen!$A$1:$C$17,2,0)</f>
        <v>McDade</v>
      </c>
    </row>
    <row r="378" spans="1:9" x14ac:dyDescent="0.2">
      <c r="A378">
        <v>6110</v>
      </c>
      <c r="B378" s="7">
        <v>45777</v>
      </c>
      <c r="C378" t="s">
        <v>373</v>
      </c>
      <c r="D378">
        <v>202504</v>
      </c>
      <c r="E378" s="6">
        <v>1372.42</v>
      </c>
      <c r="G378">
        <v>2017</v>
      </c>
      <c r="I378" t="str">
        <f>VLOOKUP(G378,Kostenstellen!$A$1:$C$17,2,0)</f>
        <v>Hartmann</v>
      </c>
    </row>
    <row r="379" spans="1:9" x14ac:dyDescent="0.2">
      <c r="A379">
        <v>6110</v>
      </c>
      <c r="B379" s="7">
        <v>45777</v>
      </c>
      <c r="C379" t="s">
        <v>373</v>
      </c>
      <c r="D379">
        <v>202504</v>
      </c>
      <c r="E379">
        <v>993.55</v>
      </c>
      <c r="G379">
        <v>2018</v>
      </c>
      <c r="I379" t="str">
        <f>VLOOKUP(G379,Kostenstellen!$A$1:$C$17,2,0)</f>
        <v>Ali Lara</v>
      </c>
    </row>
    <row r="380" spans="1:9" x14ac:dyDescent="0.2">
      <c r="A380">
        <v>6110</v>
      </c>
      <c r="B380" s="7">
        <v>45808</v>
      </c>
      <c r="C380" t="s">
        <v>373</v>
      </c>
      <c r="D380">
        <v>202505</v>
      </c>
      <c r="E380" s="6">
        <v>1506.21</v>
      </c>
      <c r="G380">
        <v>2001</v>
      </c>
      <c r="I380" t="str">
        <f>VLOOKUP(G380,Kostenstellen!$A$1:$C$17,2,0)</f>
        <v>Koch Martin</v>
      </c>
    </row>
    <row r="381" spans="1:9" x14ac:dyDescent="0.2">
      <c r="A381">
        <v>6110</v>
      </c>
      <c r="B381" s="7">
        <v>45808</v>
      </c>
      <c r="C381" t="s">
        <v>373</v>
      </c>
      <c r="D381">
        <v>202505</v>
      </c>
      <c r="E381" s="6">
        <v>1559.92</v>
      </c>
      <c r="G381">
        <v>2011</v>
      </c>
      <c r="I381" t="str">
        <f>VLOOKUP(G381,Kostenstellen!$A$1:$C$17,2,0)</f>
        <v>Elsner</v>
      </c>
    </row>
    <row r="382" spans="1:9" x14ac:dyDescent="0.2">
      <c r="A382">
        <v>6110</v>
      </c>
      <c r="B382" s="7">
        <v>45808</v>
      </c>
      <c r="C382" t="s">
        <v>373</v>
      </c>
      <c r="D382">
        <v>202505</v>
      </c>
      <c r="E382" s="6">
        <v>1037.5</v>
      </c>
      <c r="G382">
        <v>2012</v>
      </c>
      <c r="I382" t="str">
        <f>VLOOKUP(G382,Kostenstellen!$A$1:$C$17,2,0)</f>
        <v>Weingartz</v>
      </c>
    </row>
    <row r="383" spans="1:9" x14ac:dyDescent="0.2">
      <c r="A383">
        <v>6110</v>
      </c>
      <c r="B383" s="7">
        <v>45808</v>
      </c>
      <c r="C383" t="s">
        <v>373</v>
      </c>
      <c r="D383">
        <v>202505</v>
      </c>
      <c r="E383">
        <v>943</v>
      </c>
      <c r="G383">
        <v>2014</v>
      </c>
      <c r="I383" t="str">
        <f>VLOOKUP(G383,Kostenstellen!$A$1:$C$17,2,0)</f>
        <v>Buzik</v>
      </c>
    </row>
    <row r="384" spans="1:9" x14ac:dyDescent="0.2">
      <c r="A384">
        <v>6110</v>
      </c>
      <c r="B384" s="7">
        <v>45808</v>
      </c>
      <c r="C384" t="s">
        <v>373</v>
      </c>
      <c r="D384">
        <v>202505</v>
      </c>
      <c r="E384">
        <v>777.24</v>
      </c>
      <c r="G384">
        <v>2015</v>
      </c>
      <c r="I384" t="str">
        <f>VLOOKUP(G384,Kostenstellen!$A$1:$C$17,2,0)</f>
        <v>McDade</v>
      </c>
    </row>
    <row r="385" spans="1:9" x14ac:dyDescent="0.2">
      <c r="A385">
        <v>6110</v>
      </c>
      <c r="B385" s="7">
        <v>45808</v>
      </c>
      <c r="C385" t="s">
        <v>373</v>
      </c>
      <c r="D385">
        <v>202505</v>
      </c>
      <c r="E385" s="6">
        <v>1381.79</v>
      </c>
      <c r="G385">
        <v>2017</v>
      </c>
      <c r="I385" t="str">
        <f>VLOOKUP(G385,Kostenstellen!$A$1:$C$17,2,0)</f>
        <v>Hartmann</v>
      </c>
    </row>
    <row r="386" spans="1:9" x14ac:dyDescent="0.2">
      <c r="A386">
        <v>6110</v>
      </c>
      <c r="B386" s="7">
        <v>45808</v>
      </c>
      <c r="C386" t="s">
        <v>373</v>
      </c>
      <c r="D386">
        <v>202505</v>
      </c>
      <c r="E386">
        <v>993.55</v>
      </c>
      <c r="G386">
        <v>2018</v>
      </c>
      <c r="I386" t="str">
        <f>VLOOKUP(G386,Kostenstellen!$A$1:$C$17,2,0)</f>
        <v>Ali Lara</v>
      </c>
    </row>
    <row r="387" spans="1:9" x14ac:dyDescent="0.2">
      <c r="A387">
        <v>6110</v>
      </c>
      <c r="B387" s="7">
        <v>45838</v>
      </c>
      <c r="C387" t="s">
        <v>373</v>
      </c>
      <c r="D387">
        <v>202506</v>
      </c>
      <c r="E387" s="6">
        <v>1506.44</v>
      </c>
      <c r="G387">
        <v>2001</v>
      </c>
      <c r="I387" t="str">
        <f>VLOOKUP(G387,Kostenstellen!$A$1:$C$17,2,0)</f>
        <v>Koch Martin</v>
      </c>
    </row>
    <row r="388" spans="1:9" x14ac:dyDescent="0.2">
      <c r="A388">
        <v>6110</v>
      </c>
      <c r="B388" s="7">
        <v>45838</v>
      </c>
      <c r="C388" t="s">
        <v>373</v>
      </c>
      <c r="D388">
        <v>202506</v>
      </c>
      <c r="E388" s="6">
        <v>1559.92</v>
      </c>
      <c r="G388">
        <v>2011</v>
      </c>
      <c r="I388" t="str">
        <f>VLOOKUP(G388,Kostenstellen!$A$1:$C$17,2,0)</f>
        <v>Elsner</v>
      </c>
    </row>
    <row r="389" spans="1:9" x14ac:dyDescent="0.2">
      <c r="A389">
        <v>6110</v>
      </c>
      <c r="B389" s="7">
        <v>45838</v>
      </c>
      <c r="C389" t="s">
        <v>373</v>
      </c>
      <c r="D389">
        <v>202506</v>
      </c>
      <c r="E389" s="6">
        <v>1037.5</v>
      </c>
      <c r="G389">
        <v>2012</v>
      </c>
      <c r="I389" t="str">
        <f>VLOOKUP(G389,Kostenstellen!$A$1:$C$17,2,0)</f>
        <v>Weingartz</v>
      </c>
    </row>
    <row r="390" spans="1:9" x14ac:dyDescent="0.2">
      <c r="A390">
        <v>6110</v>
      </c>
      <c r="B390" s="7">
        <v>45838</v>
      </c>
      <c r="C390" t="s">
        <v>373</v>
      </c>
      <c r="D390">
        <v>202506</v>
      </c>
      <c r="E390">
        <v>943</v>
      </c>
      <c r="G390">
        <v>2014</v>
      </c>
      <c r="I390" t="str">
        <f>VLOOKUP(G390,Kostenstellen!$A$1:$C$17,2,0)</f>
        <v>Buzik</v>
      </c>
    </row>
    <row r="391" spans="1:9" x14ac:dyDescent="0.2">
      <c r="A391">
        <v>6110</v>
      </c>
      <c r="B391" s="7">
        <v>45838</v>
      </c>
      <c r="C391" t="s">
        <v>373</v>
      </c>
      <c r="D391">
        <v>202506</v>
      </c>
      <c r="E391">
        <v>777.24</v>
      </c>
      <c r="G391">
        <v>2015</v>
      </c>
      <c r="I391" t="str">
        <f>VLOOKUP(G391,Kostenstellen!$A$1:$C$17,2,0)</f>
        <v>McDade</v>
      </c>
    </row>
    <row r="392" spans="1:9" x14ac:dyDescent="0.2">
      <c r="A392">
        <v>6110</v>
      </c>
      <c r="B392" s="7">
        <v>45838</v>
      </c>
      <c r="C392" t="s">
        <v>373</v>
      </c>
      <c r="D392">
        <v>202506</v>
      </c>
      <c r="E392" s="6">
        <v>1381.79</v>
      </c>
      <c r="G392">
        <v>2017</v>
      </c>
      <c r="I392" t="str">
        <f>VLOOKUP(G392,Kostenstellen!$A$1:$C$17,2,0)</f>
        <v>Hartmann</v>
      </c>
    </row>
    <row r="393" spans="1:9" x14ac:dyDescent="0.2">
      <c r="A393">
        <v>6110</v>
      </c>
      <c r="B393" s="7">
        <v>45838</v>
      </c>
      <c r="C393" t="s">
        <v>373</v>
      </c>
      <c r="D393">
        <v>202506</v>
      </c>
      <c r="E393">
        <v>993.55</v>
      </c>
      <c r="G393">
        <v>2018</v>
      </c>
      <c r="I393" t="str">
        <f>VLOOKUP(G393,Kostenstellen!$A$1:$C$17,2,0)</f>
        <v>Ali Lara</v>
      </c>
    </row>
    <row r="394" spans="1:9" x14ac:dyDescent="0.2">
      <c r="A394">
        <v>6110</v>
      </c>
      <c r="B394" s="7">
        <v>45869</v>
      </c>
      <c r="C394" t="s">
        <v>373</v>
      </c>
      <c r="D394">
        <v>202507</v>
      </c>
      <c r="E394" s="6">
        <v>1493.17</v>
      </c>
      <c r="G394">
        <v>2001</v>
      </c>
      <c r="I394" t="str">
        <f>VLOOKUP(G394,Kostenstellen!$A$1:$C$17,2,0)</f>
        <v>Koch Martin</v>
      </c>
    </row>
    <row r="395" spans="1:9" x14ac:dyDescent="0.2">
      <c r="A395">
        <v>6110</v>
      </c>
      <c r="B395" s="7">
        <v>45869</v>
      </c>
      <c r="C395" t="s">
        <v>373</v>
      </c>
      <c r="D395">
        <v>202507</v>
      </c>
      <c r="E395" s="6">
        <v>1559.92</v>
      </c>
      <c r="G395">
        <v>2011</v>
      </c>
      <c r="I395" t="str">
        <f>VLOOKUP(G395,Kostenstellen!$A$1:$C$17,2,0)</f>
        <v>Elsner</v>
      </c>
    </row>
    <row r="396" spans="1:9" x14ac:dyDescent="0.2">
      <c r="A396">
        <v>6110</v>
      </c>
      <c r="B396" s="7">
        <v>45869</v>
      </c>
      <c r="C396" t="s">
        <v>373</v>
      </c>
      <c r="D396">
        <v>202507</v>
      </c>
      <c r="E396" s="6">
        <v>1037.5</v>
      </c>
      <c r="G396">
        <v>2012</v>
      </c>
      <c r="I396" t="str">
        <f>VLOOKUP(G396,Kostenstellen!$A$1:$C$17,2,0)</f>
        <v>Weingartz</v>
      </c>
    </row>
    <row r="397" spans="1:9" x14ac:dyDescent="0.2">
      <c r="A397">
        <v>6110</v>
      </c>
      <c r="B397" s="7">
        <v>45869</v>
      </c>
      <c r="C397" t="s">
        <v>373</v>
      </c>
      <c r="D397">
        <v>202507</v>
      </c>
      <c r="E397">
        <v>943</v>
      </c>
      <c r="G397">
        <v>2014</v>
      </c>
      <c r="I397" t="str">
        <f>VLOOKUP(G397,Kostenstellen!$A$1:$C$17,2,0)</f>
        <v>Buzik</v>
      </c>
    </row>
    <row r="398" spans="1:9" x14ac:dyDescent="0.2">
      <c r="A398">
        <v>6110</v>
      </c>
      <c r="B398" s="7">
        <v>45869</v>
      </c>
      <c r="C398" t="s">
        <v>373</v>
      </c>
      <c r="D398">
        <v>202507</v>
      </c>
      <c r="E398">
        <v>777.24</v>
      </c>
      <c r="G398">
        <v>2015</v>
      </c>
      <c r="I398" t="str">
        <f>VLOOKUP(G398,Kostenstellen!$A$1:$C$17,2,0)</f>
        <v>McDade</v>
      </c>
    </row>
    <row r="399" spans="1:9" x14ac:dyDescent="0.2">
      <c r="A399">
        <v>6110</v>
      </c>
      <c r="B399" s="7">
        <v>45869</v>
      </c>
      <c r="C399" t="s">
        <v>373</v>
      </c>
      <c r="D399">
        <v>202507</v>
      </c>
      <c r="E399" s="6">
        <v>1381.79</v>
      </c>
      <c r="G399">
        <v>2017</v>
      </c>
      <c r="I399" t="str">
        <f>VLOOKUP(G399,Kostenstellen!$A$1:$C$17,2,0)</f>
        <v>Hartmann</v>
      </c>
    </row>
    <row r="400" spans="1:9" x14ac:dyDescent="0.2">
      <c r="A400">
        <v>6110</v>
      </c>
      <c r="B400" s="7">
        <v>45869</v>
      </c>
      <c r="C400" t="s">
        <v>373</v>
      </c>
      <c r="D400">
        <v>202507</v>
      </c>
      <c r="E400">
        <v>993.55</v>
      </c>
      <c r="G400">
        <v>2018</v>
      </c>
      <c r="I400" t="str">
        <f>VLOOKUP(G400,Kostenstellen!$A$1:$C$17,2,0)</f>
        <v>Ali Lara</v>
      </c>
    </row>
    <row r="401" spans="1:9" x14ac:dyDescent="0.2">
      <c r="A401">
        <v>6110</v>
      </c>
      <c r="B401" s="7">
        <v>45900</v>
      </c>
      <c r="C401" t="s">
        <v>373</v>
      </c>
      <c r="D401">
        <v>202508</v>
      </c>
      <c r="E401" s="6">
        <v>1492.77</v>
      </c>
      <c r="G401">
        <v>2001</v>
      </c>
      <c r="I401" t="str">
        <f>VLOOKUP(G401,Kostenstellen!$A$1:$C$17,2,0)</f>
        <v>Koch Martin</v>
      </c>
    </row>
    <row r="402" spans="1:9" x14ac:dyDescent="0.2">
      <c r="A402">
        <v>6110</v>
      </c>
      <c r="B402" s="7">
        <v>45900</v>
      </c>
      <c r="C402" t="s">
        <v>373</v>
      </c>
      <c r="D402">
        <v>202508</v>
      </c>
      <c r="E402" s="6">
        <v>1559.92</v>
      </c>
      <c r="G402">
        <v>2011</v>
      </c>
      <c r="I402" t="str">
        <f>VLOOKUP(G402,Kostenstellen!$A$1:$C$17,2,0)</f>
        <v>Elsner</v>
      </c>
    </row>
    <row r="403" spans="1:9" x14ac:dyDescent="0.2">
      <c r="A403">
        <v>6110</v>
      </c>
      <c r="B403" s="7">
        <v>45900</v>
      </c>
      <c r="C403" t="s">
        <v>373</v>
      </c>
      <c r="D403">
        <v>202508</v>
      </c>
      <c r="E403" s="6">
        <v>1102.3900000000001</v>
      </c>
      <c r="G403">
        <v>2012</v>
      </c>
      <c r="I403" t="str">
        <f>VLOOKUP(G403,Kostenstellen!$A$1:$C$17,2,0)</f>
        <v>Weingartz</v>
      </c>
    </row>
    <row r="404" spans="1:9" x14ac:dyDescent="0.2">
      <c r="A404">
        <v>6110</v>
      </c>
      <c r="B404" s="7">
        <v>45900</v>
      </c>
      <c r="C404" t="s">
        <v>373</v>
      </c>
      <c r="D404">
        <v>202508</v>
      </c>
      <c r="E404">
        <v>953.14</v>
      </c>
      <c r="G404">
        <v>2014</v>
      </c>
      <c r="I404" t="str">
        <f>VLOOKUP(G404,Kostenstellen!$A$1:$C$17,2,0)</f>
        <v>Buzik</v>
      </c>
    </row>
    <row r="405" spans="1:9" x14ac:dyDescent="0.2">
      <c r="A405">
        <v>6110</v>
      </c>
      <c r="B405" s="7">
        <v>45900</v>
      </c>
      <c r="C405" t="s">
        <v>373</v>
      </c>
      <c r="D405">
        <v>202508</v>
      </c>
      <c r="E405">
        <v>777.24</v>
      </c>
      <c r="G405">
        <v>2015</v>
      </c>
      <c r="I405" t="str">
        <f>VLOOKUP(G405,Kostenstellen!$A$1:$C$17,2,0)</f>
        <v>McDade</v>
      </c>
    </row>
    <row r="406" spans="1:9" x14ac:dyDescent="0.2">
      <c r="A406">
        <v>6110</v>
      </c>
      <c r="B406" s="7">
        <v>45900</v>
      </c>
      <c r="C406" t="s">
        <v>373</v>
      </c>
      <c r="D406">
        <v>202508</v>
      </c>
      <c r="E406" s="6">
        <v>1381.79</v>
      </c>
      <c r="G406">
        <v>2017</v>
      </c>
      <c r="I406" t="str">
        <f>VLOOKUP(G406,Kostenstellen!$A$1:$C$17,2,0)</f>
        <v>Hartmann</v>
      </c>
    </row>
    <row r="407" spans="1:9" x14ac:dyDescent="0.2">
      <c r="A407">
        <v>6110</v>
      </c>
      <c r="B407" s="7">
        <v>45900</v>
      </c>
      <c r="C407" t="s">
        <v>373</v>
      </c>
      <c r="D407">
        <v>202508</v>
      </c>
      <c r="E407">
        <v>993.55</v>
      </c>
      <c r="G407">
        <v>2018</v>
      </c>
      <c r="I407" t="str">
        <f>VLOOKUP(G407,Kostenstellen!$A$1:$C$17,2,0)</f>
        <v>Ali Lara</v>
      </c>
    </row>
    <row r="408" spans="1:9" x14ac:dyDescent="0.2">
      <c r="A408">
        <v>6110</v>
      </c>
      <c r="B408" s="7">
        <v>45930</v>
      </c>
      <c r="C408" t="s">
        <v>373</v>
      </c>
      <c r="D408">
        <v>202509</v>
      </c>
      <c r="E408" s="6">
        <v>1492.91</v>
      </c>
      <c r="G408">
        <v>2001</v>
      </c>
      <c r="I408" t="str">
        <f>VLOOKUP(G408,Kostenstellen!$A$1:$C$17,2,0)</f>
        <v>Koch Martin</v>
      </c>
    </row>
    <row r="409" spans="1:9" x14ac:dyDescent="0.2">
      <c r="A409">
        <v>6110</v>
      </c>
      <c r="B409" s="7">
        <v>45930</v>
      </c>
      <c r="C409" t="s">
        <v>373</v>
      </c>
      <c r="D409">
        <v>202509</v>
      </c>
      <c r="E409" s="6">
        <v>1559.92</v>
      </c>
      <c r="G409">
        <v>2011</v>
      </c>
      <c r="I409" t="str">
        <f>VLOOKUP(G409,Kostenstellen!$A$1:$C$17,2,0)</f>
        <v>Elsner</v>
      </c>
    </row>
    <row r="410" spans="1:9" x14ac:dyDescent="0.2">
      <c r="A410">
        <v>6110</v>
      </c>
      <c r="B410" s="7">
        <v>45930</v>
      </c>
      <c r="C410" t="s">
        <v>373</v>
      </c>
      <c r="D410">
        <v>202509</v>
      </c>
      <c r="E410" s="6">
        <v>1192.23</v>
      </c>
      <c r="G410">
        <v>2012</v>
      </c>
      <c r="I410" t="str">
        <f>VLOOKUP(G410,Kostenstellen!$A$1:$C$17,2,0)</f>
        <v>Weingartz</v>
      </c>
    </row>
    <row r="411" spans="1:9" x14ac:dyDescent="0.2">
      <c r="A411">
        <v>6110</v>
      </c>
      <c r="B411" s="7">
        <v>45930</v>
      </c>
      <c r="C411" t="s">
        <v>373</v>
      </c>
      <c r="D411">
        <v>202509</v>
      </c>
      <c r="E411" s="6">
        <v>1257.32</v>
      </c>
      <c r="G411">
        <v>2014</v>
      </c>
      <c r="I411" t="str">
        <f>VLOOKUP(G411,Kostenstellen!$A$1:$C$17,2,0)</f>
        <v>Buzik</v>
      </c>
    </row>
    <row r="412" spans="1:9" x14ac:dyDescent="0.2">
      <c r="A412">
        <v>6110</v>
      </c>
      <c r="B412" s="7">
        <v>45930</v>
      </c>
      <c r="C412" t="s">
        <v>373</v>
      </c>
      <c r="D412">
        <v>202509</v>
      </c>
      <c r="E412">
        <v>777.24</v>
      </c>
      <c r="G412">
        <v>2015</v>
      </c>
      <c r="I412" t="str">
        <f>VLOOKUP(G412,Kostenstellen!$A$1:$C$17,2,0)</f>
        <v>McDade</v>
      </c>
    </row>
    <row r="413" spans="1:9" x14ac:dyDescent="0.2">
      <c r="A413">
        <v>6110</v>
      </c>
      <c r="B413" s="7">
        <v>45930</v>
      </c>
      <c r="C413" t="s">
        <v>373</v>
      </c>
      <c r="D413">
        <v>202509</v>
      </c>
      <c r="E413" s="6">
        <v>1381.79</v>
      </c>
      <c r="G413">
        <v>2017</v>
      </c>
      <c r="I413" t="str">
        <f>VLOOKUP(G413,Kostenstellen!$A$1:$C$17,2,0)</f>
        <v>Hartmann</v>
      </c>
    </row>
    <row r="414" spans="1:9" x14ac:dyDescent="0.2">
      <c r="A414">
        <v>6110</v>
      </c>
      <c r="B414" s="7">
        <v>45930</v>
      </c>
      <c r="C414" t="s">
        <v>373</v>
      </c>
      <c r="D414">
        <v>202509</v>
      </c>
      <c r="E414">
        <v>993.55</v>
      </c>
      <c r="G414">
        <v>2018</v>
      </c>
      <c r="I414" t="str">
        <f>VLOOKUP(G414,Kostenstellen!$A$1:$C$17,2,0)</f>
        <v>Ali Lara</v>
      </c>
    </row>
    <row r="415" spans="1:9" x14ac:dyDescent="0.2">
      <c r="A415">
        <v>6110</v>
      </c>
      <c r="B415" s="7">
        <v>45961</v>
      </c>
      <c r="C415" t="s">
        <v>373</v>
      </c>
      <c r="D415">
        <v>202510</v>
      </c>
      <c r="E415" s="6">
        <v>1492.91</v>
      </c>
      <c r="G415">
        <v>2001</v>
      </c>
      <c r="I415" t="str">
        <f>VLOOKUP(G415,Kostenstellen!$A$1:$C$17,2,0)</f>
        <v>Koch Martin</v>
      </c>
    </row>
    <row r="416" spans="1:9" x14ac:dyDescent="0.2">
      <c r="A416">
        <v>6110</v>
      </c>
      <c r="B416" s="7">
        <v>45961</v>
      </c>
      <c r="C416" t="s">
        <v>373</v>
      </c>
      <c r="D416">
        <v>202510</v>
      </c>
      <c r="E416" s="6">
        <v>1559.92</v>
      </c>
      <c r="G416">
        <v>2011</v>
      </c>
      <c r="I416" t="str">
        <f>VLOOKUP(G416,Kostenstellen!$A$1:$C$17,2,0)</f>
        <v>Elsner</v>
      </c>
    </row>
    <row r="417" spans="1:9" x14ac:dyDescent="0.2">
      <c r="A417">
        <v>6110</v>
      </c>
      <c r="B417" s="7">
        <v>45961</v>
      </c>
      <c r="C417" t="s">
        <v>373</v>
      </c>
      <c r="D417">
        <v>202510</v>
      </c>
      <c r="E417" s="6">
        <v>1192.23</v>
      </c>
      <c r="G417">
        <v>2012</v>
      </c>
      <c r="I417" t="str">
        <f>VLOOKUP(G417,Kostenstellen!$A$1:$C$17,2,0)</f>
        <v>Weingartz</v>
      </c>
    </row>
    <row r="418" spans="1:9" x14ac:dyDescent="0.2">
      <c r="A418">
        <v>6110</v>
      </c>
      <c r="B418" s="7">
        <v>45961</v>
      </c>
      <c r="C418" t="s">
        <v>373</v>
      </c>
      <c r="D418">
        <v>202510</v>
      </c>
      <c r="E418" s="6">
        <v>1257.32</v>
      </c>
      <c r="G418">
        <v>2014</v>
      </c>
      <c r="I418" t="str">
        <f>VLOOKUP(G418,Kostenstellen!$A$1:$C$17,2,0)</f>
        <v>Buzik</v>
      </c>
    </row>
    <row r="419" spans="1:9" x14ac:dyDescent="0.2">
      <c r="A419">
        <v>6110</v>
      </c>
      <c r="B419" s="7">
        <v>45961</v>
      </c>
      <c r="C419" t="s">
        <v>373</v>
      </c>
      <c r="D419">
        <v>202510</v>
      </c>
      <c r="E419">
        <v>777.24</v>
      </c>
      <c r="G419">
        <v>2015</v>
      </c>
      <c r="I419" t="str">
        <f>VLOOKUP(G419,Kostenstellen!$A$1:$C$17,2,0)</f>
        <v>McDade</v>
      </c>
    </row>
    <row r="420" spans="1:9" x14ac:dyDescent="0.2">
      <c r="A420">
        <v>6110</v>
      </c>
      <c r="B420" s="7">
        <v>45961</v>
      </c>
      <c r="C420" t="s">
        <v>373</v>
      </c>
      <c r="D420">
        <v>202510</v>
      </c>
      <c r="E420" s="6">
        <v>1381.79</v>
      </c>
      <c r="G420">
        <v>2017</v>
      </c>
      <c r="I420" t="str">
        <f>VLOOKUP(G420,Kostenstellen!$A$1:$C$17,2,0)</f>
        <v>Hartmann</v>
      </c>
    </row>
    <row r="421" spans="1:9" x14ac:dyDescent="0.2">
      <c r="A421">
        <v>6110</v>
      </c>
      <c r="B421" s="7">
        <v>45961</v>
      </c>
      <c r="C421" t="s">
        <v>373</v>
      </c>
      <c r="D421">
        <v>202510</v>
      </c>
      <c r="E421">
        <v>993.55</v>
      </c>
      <c r="G421">
        <v>2018</v>
      </c>
      <c r="I421" t="str">
        <f>VLOOKUP(G421,Kostenstellen!$A$1:$C$17,2,0)</f>
        <v>Ali Lara</v>
      </c>
    </row>
    <row r="422" spans="1:9" x14ac:dyDescent="0.2">
      <c r="A422">
        <v>6110</v>
      </c>
      <c r="B422" s="7">
        <v>45991</v>
      </c>
      <c r="C422" t="s">
        <v>373</v>
      </c>
      <c r="D422">
        <v>202511</v>
      </c>
      <c r="E422" s="6">
        <v>1493.95</v>
      </c>
      <c r="G422">
        <v>2001</v>
      </c>
      <c r="I422" t="str">
        <f>VLOOKUP(G422,Kostenstellen!$A$1:$C$17,2,0)</f>
        <v>Koch Martin</v>
      </c>
    </row>
    <row r="423" spans="1:9" x14ac:dyDescent="0.2">
      <c r="A423">
        <v>6110</v>
      </c>
      <c r="B423" s="7">
        <v>45991</v>
      </c>
      <c r="C423" t="s">
        <v>373</v>
      </c>
      <c r="D423">
        <v>202511</v>
      </c>
      <c r="E423" s="6">
        <v>1559.92</v>
      </c>
      <c r="G423">
        <v>2011</v>
      </c>
      <c r="I423" t="str">
        <f>VLOOKUP(G423,Kostenstellen!$A$1:$C$17,2,0)</f>
        <v>Elsner</v>
      </c>
    </row>
    <row r="424" spans="1:9" x14ac:dyDescent="0.2">
      <c r="A424">
        <v>6110</v>
      </c>
      <c r="B424" s="7">
        <v>45991</v>
      </c>
      <c r="C424" t="s">
        <v>373</v>
      </c>
      <c r="D424">
        <v>202511</v>
      </c>
      <c r="E424" s="6">
        <v>1192.23</v>
      </c>
      <c r="G424">
        <v>2012</v>
      </c>
      <c r="I424" t="str">
        <f>VLOOKUP(G424,Kostenstellen!$A$1:$C$17,2,0)</f>
        <v>Weingartz</v>
      </c>
    </row>
    <row r="425" spans="1:9" x14ac:dyDescent="0.2">
      <c r="A425">
        <v>6110</v>
      </c>
      <c r="B425" s="7">
        <v>45991</v>
      </c>
      <c r="C425" t="s">
        <v>373</v>
      </c>
      <c r="D425">
        <v>202511</v>
      </c>
      <c r="E425" s="6">
        <v>1257.32</v>
      </c>
      <c r="G425">
        <v>2014</v>
      </c>
      <c r="I425" t="str">
        <f>VLOOKUP(G425,Kostenstellen!$A$1:$C$17,2,0)</f>
        <v>Buzik</v>
      </c>
    </row>
    <row r="426" spans="1:9" x14ac:dyDescent="0.2">
      <c r="A426">
        <v>6110</v>
      </c>
      <c r="B426" s="7">
        <v>45991</v>
      </c>
      <c r="C426" t="s">
        <v>373</v>
      </c>
      <c r="D426">
        <v>202511</v>
      </c>
      <c r="E426">
        <v>777.24</v>
      </c>
      <c r="G426">
        <v>2015</v>
      </c>
      <c r="I426" t="str">
        <f>VLOOKUP(G426,Kostenstellen!$A$1:$C$17,2,0)</f>
        <v>McDade</v>
      </c>
    </row>
    <row r="427" spans="1:9" x14ac:dyDescent="0.2">
      <c r="A427">
        <v>6110</v>
      </c>
      <c r="B427" s="7">
        <v>45991</v>
      </c>
      <c r="C427" t="s">
        <v>373</v>
      </c>
      <c r="D427">
        <v>202511</v>
      </c>
      <c r="E427" s="6">
        <v>1381.79</v>
      </c>
      <c r="G427">
        <v>2017</v>
      </c>
      <c r="I427" t="str">
        <f>VLOOKUP(G427,Kostenstellen!$A$1:$C$17,2,0)</f>
        <v>Hartmann</v>
      </c>
    </row>
    <row r="428" spans="1:9" x14ac:dyDescent="0.2">
      <c r="A428">
        <v>6110</v>
      </c>
      <c r="B428" s="7">
        <v>45991</v>
      </c>
      <c r="C428" t="s">
        <v>373</v>
      </c>
      <c r="D428">
        <v>202511</v>
      </c>
      <c r="E428">
        <v>993.55</v>
      </c>
      <c r="G428">
        <v>2018</v>
      </c>
      <c r="I428" t="str">
        <f>VLOOKUP(G428,Kostenstellen!$A$1:$C$17,2,0)</f>
        <v>Ali Lara</v>
      </c>
    </row>
    <row r="429" spans="1:9" x14ac:dyDescent="0.2">
      <c r="A429">
        <v>6110</v>
      </c>
      <c r="B429" s="7">
        <v>46022</v>
      </c>
      <c r="C429" t="s">
        <v>373</v>
      </c>
      <c r="D429">
        <v>202512</v>
      </c>
      <c r="E429" s="6">
        <v>1493.05</v>
      </c>
      <c r="G429">
        <v>2001</v>
      </c>
      <c r="I429" t="str">
        <f>VLOOKUP(G429,Kostenstellen!$A$1:$C$17,2,0)</f>
        <v>Koch Martin</v>
      </c>
    </row>
    <row r="430" spans="1:9" x14ac:dyDescent="0.2">
      <c r="A430">
        <v>6110</v>
      </c>
      <c r="B430" s="7">
        <v>46022</v>
      </c>
      <c r="C430" t="s">
        <v>373</v>
      </c>
      <c r="D430">
        <v>202512</v>
      </c>
      <c r="E430" s="6">
        <v>1559.92</v>
      </c>
      <c r="G430">
        <v>2011</v>
      </c>
      <c r="I430" t="str">
        <f>VLOOKUP(G430,Kostenstellen!$A$1:$C$17,2,0)</f>
        <v>Elsner</v>
      </c>
    </row>
    <row r="431" spans="1:9" x14ac:dyDescent="0.2">
      <c r="A431">
        <v>6110</v>
      </c>
      <c r="B431" s="7">
        <v>46022</v>
      </c>
      <c r="C431" t="s">
        <v>373</v>
      </c>
      <c r="D431">
        <v>202512</v>
      </c>
      <c r="E431" s="6">
        <v>1192.23</v>
      </c>
      <c r="G431">
        <v>2012</v>
      </c>
      <c r="I431" t="str">
        <f>VLOOKUP(G431,Kostenstellen!$A$1:$C$17,2,0)</f>
        <v>Weingartz</v>
      </c>
    </row>
    <row r="432" spans="1:9" x14ac:dyDescent="0.2">
      <c r="A432">
        <v>6110</v>
      </c>
      <c r="B432" s="7">
        <v>46022</v>
      </c>
      <c r="C432" t="s">
        <v>373</v>
      </c>
      <c r="D432">
        <v>202512</v>
      </c>
      <c r="E432" s="6">
        <v>1257.32</v>
      </c>
      <c r="G432">
        <v>2014</v>
      </c>
      <c r="I432" t="str">
        <f>VLOOKUP(G432,Kostenstellen!$A$1:$C$17,2,0)</f>
        <v>Buzik</v>
      </c>
    </row>
    <row r="433" spans="1:9" x14ac:dyDescent="0.2">
      <c r="A433">
        <v>6110</v>
      </c>
      <c r="B433" s="7">
        <v>46022</v>
      </c>
      <c r="C433" t="s">
        <v>373</v>
      </c>
      <c r="D433">
        <v>202512</v>
      </c>
      <c r="E433">
        <v>777.24</v>
      </c>
      <c r="G433">
        <v>2015</v>
      </c>
      <c r="I433" t="str">
        <f>VLOOKUP(G433,Kostenstellen!$A$1:$C$17,2,0)</f>
        <v>McDade</v>
      </c>
    </row>
    <row r="434" spans="1:9" x14ac:dyDescent="0.2">
      <c r="A434">
        <v>6110</v>
      </c>
      <c r="B434" s="7">
        <v>46022</v>
      </c>
      <c r="C434" t="s">
        <v>373</v>
      </c>
      <c r="D434">
        <v>202512</v>
      </c>
      <c r="E434" s="6">
        <v>1381.79</v>
      </c>
      <c r="G434">
        <v>2017</v>
      </c>
      <c r="I434" t="str">
        <f>VLOOKUP(G434,Kostenstellen!$A$1:$C$17,2,0)</f>
        <v>Hartmann</v>
      </c>
    </row>
    <row r="435" spans="1:9" x14ac:dyDescent="0.2">
      <c r="A435">
        <v>6110</v>
      </c>
      <c r="B435" s="7">
        <v>46022</v>
      </c>
      <c r="C435" t="s">
        <v>373</v>
      </c>
      <c r="D435">
        <v>202512</v>
      </c>
      <c r="E435">
        <v>993.55</v>
      </c>
      <c r="G435">
        <v>2018</v>
      </c>
      <c r="I435" t="str">
        <f>VLOOKUP(G435,Kostenstellen!$A$1:$C$17,2,0)</f>
        <v>Ali Lara</v>
      </c>
    </row>
    <row r="436" spans="1:9" x14ac:dyDescent="0.2">
      <c r="A436">
        <v>6120</v>
      </c>
      <c r="B436" s="7">
        <v>45758</v>
      </c>
      <c r="C436" t="s">
        <v>374</v>
      </c>
      <c r="D436">
        <v>250254011001</v>
      </c>
      <c r="E436" s="6">
        <v>1221.73</v>
      </c>
      <c r="G436">
        <v>200</v>
      </c>
      <c r="I436" t="str">
        <f>VLOOKUP(G436,Kostenstellen!$A$1:$C$17,2,0)</f>
        <v>aqua</v>
      </c>
    </row>
    <row r="437" spans="1:9" x14ac:dyDescent="0.2">
      <c r="A437">
        <v>6130</v>
      </c>
      <c r="B437" s="7">
        <v>45688</v>
      </c>
      <c r="C437" t="s">
        <v>375</v>
      </c>
      <c r="D437">
        <v>202501</v>
      </c>
      <c r="E437">
        <v>638.48</v>
      </c>
      <c r="G437">
        <v>2012</v>
      </c>
      <c r="I437" t="str">
        <f>VLOOKUP(G437,Kostenstellen!$A$1:$C$17,2,0)</f>
        <v>Weingartz</v>
      </c>
    </row>
    <row r="438" spans="1:9" x14ac:dyDescent="0.2">
      <c r="A438">
        <v>6130</v>
      </c>
      <c r="B438" s="7">
        <v>45716</v>
      </c>
      <c r="C438" t="s">
        <v>375</v>
      </c>
      <c r="D438">
        <v>202502</v>
      </c>
      <c r="E438">
        <v>638.48</v>
      </c>
      <c r="G438">
        <v>2012</v>
      </c>
      <c r="I438" t="str">
        <f>VLOOKUP(G438,Kostenstellen!$A$1:$C$17,2,0)</f>
        <v>Weingartz</v>
      </c>
    </row>
    <row r="439" spans="1:9" x14ac:dyDescent="0.2">
      <c r="A439">
        <v>6130</v>
      </c>
      <c r="B439" s="7">
        <v>45747</v>
      </c>
      <c r="C439" t="s">
        <v>375</v>
      </c>
      <c r="D439">
        <v>202503</v>
      </c>
      <c r="E439">
        <v>638.48</v>
      </c>
      <c r="G439">
        <v>2012</v>
      </c>
      <c r="I439" t="str">
        <f>VLOOKUP(G439,Kostenstellen!$A$1:$C$17,2,0)</f>
        <v>Weingartz</v>
      </c>
    </row>
    <row r="440" spans="1:9" x14ac:dyDescent="0.2">
      <c r="A440">
        <v>6130</v>
      </c>
      <c r="B440" s="7">
        <v>45777</v>
      </c>
      <c r="C440" t="s">
        <v>375</v>
      </c>
      <c r="D440">
        <v>202504</v>
      </c>
      <c r="E440">
        <v>638.48</v>
      </c>
      <c r="G440">
        <v>2012</v>
      </c>
      <c r="I440" t="str">
        <f>VLOOKUP(G440,Kostenstellen!$A$1:$C$17,2,0)</f>
        <v>Weingartz</v>
      </c>
    </row>
    <row r="441" spans="1:9" x14ac:dyDescent="0.2">
      <c r="A441">
        <v>6130</v>
      </c>
      <c r="B441" s="7">
        <v>45808</v>
      </c>
      <c r="C441" t="s">
        <v>375</v>
      </c>
      <c r="D441">
        <v>202505</v>
      </c>
      <c r="E441">
        <v>638.48</v>
      </c>
      <c r="G441">
        <v>2012</v>
      </c>
      <c r="I441" t="str">
        <f>VLOOKUP(G441,Kostenstellen!$A$1:$C$17,2,0)</f>
        <v>Weingartz</v>
      </c>
    </row>
    <row r="442" spans="1:9" x14ac:dyDescent="0.2">
      <c r="A442">
        <v>6130</v>
      </c>
      <c r="B442" s="7">
        <v>45838</v>
      </c>
      <c r="C442" t="s">
        <v>375</v>
      </c>
      <c r="D442">
        <v>202506</v>
      </c>
      <c r="E442">
        <v>638.48</v>
      </c>
      <c r="G442">
        <v>2012</v>
      </c>
      <c r="I442" t="str">
        <f>VLOOKUP(G442,Kostenstellen!$A$1:$C$17,2,0)</f>
        <v>Weingartz</v>
      </c>
    </row>
    <row r="443" spans="1:9" x14ac:dyDescent="0.2">
      <c r="A443">
        <v>6130</v>
      </c>
      <c r="B443" s="7">
        <v>45869</v>
      </c>
      <c r="C443" t="s">
        <v>375</v>
      </c>
      <c r="D443">
        <v>202507</v>
      </c>
      <c r="E443">
        <v>638.48</v>
      </c>
      <c r="G443">
        <v>2012</v>
      </c>
      <c r="I443" t="str">
        <f>VLOOKUP(G443,Kostenstellen!$A$1:$C$17,2,0)</f>
        <v>Weingartz</v>
      </c>
    </row>
    <row r="444" spans="1:9" x14ac:dyDescent="0.2">
      <c r="A444">
        <v>6130</v>
      </c>
      <c r="B444" s="7">
        <v>45900</v>
      </c>
      <c r="C444" t="s">
        <v>375</v>
      </c>
      <c r="D444">
        <v>202508</v>
      </c>
      <c r="E444">
        <v>57.27</v>
      </c>
      <c r="G444">
        <v>2012</v>
      </c>
      <c r="I444" t="str">
        <f>VLOOKUP(G444,Kostenstellen!$A$1:$C$17,2,0)</f>
        <v>Weingartz</v>
      </c>
    </row>
    <row r="445" spans="1:9" x14ac:dyDescent="0.2">
      <c r="A445">
        <v>6130</v>
      </c>
      <c r="B445" s="7">
        <v>45930</v>
      </c>
      <c r="C445" t="s">
        <v>375</v>
      </c>
      <c r="D445">
        <v>202509</v>
      </c>
      <c r="E445">
        <v>589.37</v>
      </c>
      <c r="G445">
        <v>2012</v>
      </c>
      <c r="I445" t="str">
        <f>VLOOKUP(G445,Kostenstellen!$A$1:$C$17,2,0)</f>
        <v>Weingartz</v>
      </c>
    </row>
    <row r="446" spans="1:9" x14ac:dyDescent="0.2">
      <c r="A446">
        <v>6130</v>
      </c>
      <c r="B446" s="7">
        <v>45961</v>
      </c>
      <c r="C446" t="s">
        <v>375</v>
      </c>
      <c r="D446">
        <v>202510</v>
      </c>
      <c r="E446">
        <v>589.37</v>
      </c>
      <c r="G446">
        <v>2012</v>
      </c>
      <c r="I446" t="str">
        <f>VLOOKUP(G446,Kostenstellen!$A$1:$C$17,2,0)</f>
        <v>Weingartz</v>
      </c>
    </row>
    <row r="447" spans="1:9" x14ac:dyDescent="0.2">
      <c r="A447">
        <v>6130</v>
      </c>
      <c r="B447" s="7">
        <v>45991</v>
      </c>
      <c r="C447" t="s">
        <v>375</v>
      </c>
      <c r="D447">
        <v>202511</v>
      </c>
      <c r="E447">
        <v>589.37</v>
      </c>
      <c r="G447">
        <v>2012</v>
      </c>
      <c r="I447" t="str">
        <f>VLOOKUP(G447,Kostenstellen!$A$1:$C$17,2,0)</f>
        <v>Weingartz</v>
      </c>
    </row>
    <row r="448" spans="1:9" x14ac:dyDescent="0.2">
      <c r="A448">
        <v>6130</v>
      </c>
      <c r="B448" s="7">
        <v>46022</v>
      </c>
      <c r="C448" t="s">
        <v>375</v>
      </c>
      <c r="D448">
        <v>202512</v>
      </c>
      <c r="E448">
        <v>589.37</v>
      </c>
      <c r="G448">
        <v>2012</v>
      </c>
      <c r="I448" t="str">
        <f>VLOOKUP(G448,Kostenstellen!$A$1:$C$17,2,0)</f>
        <v>Weingartz</v>
      </c>
    </row>
    <row r="449" spans="1:9" x14ac:dyDescent="0.2">
      <c r="A449">
        <v>6140</v>
      </c>
      <c r="B449" s="7">
        <v>45688</v>
      </c>
      <c r="C449" t="s">
        <v>376</v>
      </c>
      <c r="D449">
        <v>202501</v>
      </c>
      <c r="E449">
        <v>100</v>
      </c>
      <c r="G449">
        <v>2001</v>
      </c>
      <c r="I449" t="str">
        <f>VLOOKUP(G449,Kostenstellen!$A$1:$C$17,2,0)</f>
        <v>Koch Martin</v>
      </c>
    </row>
    <row r="450" spans="1:9" x14ac:dyDescent="0.2">
      <c r="A450">
        <v>6140</v>
      </c>
      <c r="B450" s="7">
        <v>45688</v>
      </c>
      <c r="C450" t="s">
        <v>376</v>
      </c>
      <c r="D450">
        <v>202501</v>
      </c>
      <c r="E450">
        <v>100</v>
      </c>
      <c r="G450">
        <v>2011</v>
      </c>
      <c r="I450" t="str">
        <f>VLOOKUP(G450,Kostenstellen!$A$1:$C$17,2,0)</f>
        <v>Elsner</v>
      </c>
    </row>
    <row r="451" spans="1:9" x14ac:dyDescent="0.2">
      <c r="A451">
        <v>6140</v>
      </c>
      <c r="B451" s="7">
        <v>45688</v>
      </c>
      <c r="C451" t="s">
        <v>376</v>
      </c>
      <c r="D451">
        <v>202501</v>
      </c>
      <c r="E451">
        <v>60</v>
      </c>
      <c r="G451">
        <v>2012</v>
      </c>
      <c r="I451" t="str">
        <f>VLOOKUP(G451,Kostenstellen!$A$1:$C$17,2,0)</f>
        <v>Weingartz</v>
      </c>
    </row>
    <row r="452" spans="1:9" x14ac:dyDescent="0.2">
      <c r="A452">
        <v>6140</v>
      </c>
      <c r="B452" s="7">
        <v>45688</v>
      </c>
      <c r="C452" t="s">
        <v>376</v>
      </c>
      <c r="D452">
        <v>202501</v>
      </c>
      <c r="E452">
        <v>50</v>
      </c>
      <c r="G452">
        <v>2014</v>
      </c>
      <c r="I452" t="str">
        <f>VLOOKUP(G452,Kostenstellen!$A$1:$C$17,2,0)</f>
        <v>Buzik</v>
      </c>
    </row>
    <row r="453" spans="1:9" x14ac:dyDescent="0.2">
      <c r="A453">
        <v>6140</v>
      </c>
      <c r="B453" s="7">
        <v>45688</v>
      </c>
      <c r="C453" t="s">
        <v>376</v>
      </c>
      <c r="D453">
        <v>202501</v>
      </c>
      <c r="E453">
        <v>50</v>
      </c>
      <c r="G453">
        <v>2015</v>
      </c>
      <c r="I453" t="str">
        <f>VLOOKUP(G453,Kostenstellen!$A$1:$C$17,2,0)</f>
        <v>McDade</v>
      </c>
    </row>
    <row r="454" spans="1:9" x14ac:dyDescent="0.2">
      <c r="A454">
        <v>6140</v>
      </c>
      <c r="B454" s="7">
        <v>45688</v>
      </c>
      <c r="C454" t="s">
        <v>376</v>
      </c>
      <c r="D454">
        <v>202501</v>
      </c>
      <c r="E454">
        <v>100</v>
      </c>
      <c r="G454">
        <v>2017</v>
      </c>
      <c r="I454" t="str">
        <f>VLOOKUP(G454,Kostenstellen!$A$1:$C$17,2,0)</f>
        <v>Hartmann</v>
      </c>
    </row>
    <row r="455" spans="1:9" x14ac:dyDescent="0.2">
      <c r="A455">
        <v>6140</v>
      </c>
      <c r="B455" s="7">
        <v>45688</v>
      </c>
      <c r="C455" t="s">
        <v>376</v>
      </c>
      <c r="D455">
        <v>202501</v>
      </c>
      <c r="E455">
        <v>254</v>
      </c>
      <c r="G455">
        <v>2018</v>
      </c>
      <c r="I455" t="str">
        <f>VLOOKUP(G455,Kostenstellen!$A$1:$C$17,2,0)</f>
        <v>Ali Lara</v>
      </c>
    </row>
    <row r="456" spans="1:9" x14ac:dyDescent="0.2">
      <c r="A456">
        <v>6140</v>
      </c>
      <c r="B456" s="7">
        <v>45716</v>
      </c>
      <c r="C456" t="s">
        <v>376</v>
      </c>
      <c r="D456">
        <v>202502</v>
      </c>
      <c r="E456">
        <v>100</v>
      </c>
      <c r="G456">
        <v>2001</v>
      </c>
      <c r="I456" t="str">
        <f>VLOOKUP(G456,Kostenstellen!$A$1:$C$17,2,0)</f>
        <v>Koch Martin</v>
      </c>
    </row>
    <row r="457" spans="1:9" x14ac:dyDescent="0.2">
      <c r="A457">
        <v>6140</v>
      </c>
      <c r="B457" s="7">
        <v>45716</v>
      </c>
      <c r="C457" t="s">
        <v>376</v>
      </c>
      <c r="D457">
        <v>202502</v>
      </c>
      <c r="E457">
        <v>100</v>
      </c>
      <c r="G457">
        <v>2011</v>
      </c>
      <c r="I457" t="str">
        <f>VLOOKUP(G457,Kostenstellen!$A$1:$C$17,2,0)</f>
        <v>Elsner</v>
      </c>
    </row>
    <row r="458" spans="1:9" x14ac:dyDescent="0.2">
      <c r="A458">
        <v>6140</v>
      </c>
      <c r="B458" s="7">
        <v>45716</v>
      </c>
      <c r="C458" t="s">
        <v>376</v>
      </c>
      <c r="D458">
        <v>202502</v>
      </c>
      <c r="E458">
        <v>60</v>
      </c>
      <c r="G458">
        <v>2012</v>
      </c>
      <c r="I458" t="str">
        <f>VLOOKUP(G458,Kostenstellen!$A$1:$C$17,2,0)</f>
        <v>Weingartz</v>
      </c>
    </row>
    <row r="459" spans="1:9" x14ac:dyDescent="0.2">
      <c r="A459">
        <v>6140</v>
      </c>
      <c r="B459" s="7">
        <v>45716</v>
      </c>
      <c r="C459" t="s">
        <v>376</v>
      </c>
      <c r="D459">
        <v>202502</v>
      </c>
      <c r="E459">
        <v>50</v>
      </c>
      <c r="G459">
        <v>2014</v>
      </c>
      <c r="I459" t="str">
        <f>VLOOKUP(G459,Kostenstellen!$A$1:$C$17,2,0)</f>
        <v>Buzik</v>
      </c>
    </row>
    <row r="460" spans="1:9" x14ac:dyDescent="0.2">
      <c r="A460">
        <v>6140</v>
      </c>
      <c r="B460" s="7">
        <v>45716</v>
      </c>
      <c r="C460" t="s">
        <v>376</v>
      </c>
      <c r="D460">
        <v>202502</v>
      </c>
      <c r="E460">
        <v>50</v>
      </c>
      <c r="G460">
        <v>2015</v>
      </c>
      <c r="I460" t="str">
        <f>VLOOKUP(G460,Kostenstellen!$A$1:$C$17,2,0)</f>
        <v>McDade</v>
      </c>
    </row>
    <row r="461" spans="1:9" x14ac:dyDescent="0.2">
      <c r="A461">
        <v>6140</v>
      </c>
      <c r="B461" s="7">
        <v>45716</v>
      </c>
      <c r="C461" t="s">
        <v>376</v>
      </c>
      <c r="D461">
        <v>202502</v>
      </c>
      <c r="E461">
        <v>100</v>
      </c>
      <c r="G461">
        <v>2017</v>
      </c>
      <c r="I461" t="str">
        <f>VLOOKUP(G461,Kostenstellen!$A$1:$C$17,2,0)</f>
        <v>Hartmann</v>
      </c>
    </row>
    <row r="462" spans="1:9" x14ac:dyDescent="0.2">
      <c r="A462">
        <v>6140</v>
      </c>
      <c r="B462" s="7">
        <v>45716</v>
      </c>
      <c r="C462" t="s">
        <v>376</v>
      </c>
      <c r="D462">
        <v>202502</v>
      </c>
      <c r="E462">
        <v>254</v>
      </c>
      <c r="G462">
        <v>2018</v>
      </c>
      <c r="I462" t="str">
        <f>VLOOKUP(G462,Kostenstellen!$A$1:$C$17,2,0)</f>
        <v>Ali Lara</v>
      </c>
    </row>
    <row r="463" spans="1:9" x14ac:dyDescent="0.2">
      <c r="A463">
        <v>6140</v>
      </c>
      <c r="B463" s="7">
        <v>45747</v>
      </c>
      <c r="C463" t="s">
        <v>376</v>
      </c>
      <c r="D463">
        <v>202503</v>
      </c>
      <c r="E463">
        <v>100</v>
      </c>
      <c r="G463">
        <v>2001</v>
      </c>
      <c r="I463" t="str">
        <f>VLOOKUP(G463,Kostenstellen!$A$1:$C$17,2,0)</f>
        <v>Koch Martin</v>
      </c>
    </row>
    <row r="464" spans="1:9" x14ac:dyDescent="0.2">
      <c r="A464">
        <v>6140</v>
      </c>
      <c r="B464" s="7">
        <v>45747</v>
      </c>
      <c r="C464" t="s">
        <v>376</v>
      </c>
      <c r="D464">
        <v>202503</v>
      </c>
      <c r="E464">
        <v>100</v>
      </c>
      <c r="G464">
        <v>2011</v>
      </c>
      <c r="I464" t="str">
        <f>VLOOKUP(G464,Kostenstellen!$A$1:$C$17,2,0)</f>
        <v>Elsner</v>
      </c>
    </row>
    <row r="465" spans="1:9" x14ac:dyDescent="0.2">
      <c r="A465">
        <v>6140</v>
      </c>
      <c r="B465" s="7">
        <v>45747</v>
      </c>
      <c r="C465" t="s">
        <v>376</v>
      </c>
      <c r="D465">
        <v>202503</v>
      </c>
      <c r="E465">
        <v>60</v>
      </c>
      <c r="G465">
        <v>2012</v>
      </c>
      <c r="I465" t="str">
        <f>VLOOKUP(G465,Kostenstellen!$A$1:$C$17,2,0)</f>
        <v>Weingartz</v>
      </c>
    </row>
    <row r="466" spans="1:9" x14ac:dyDescent="0.2">
      <c r="A466">
        <v>6140</v>
      </c>
      <c r="B466" s="7">
        <v>45747</v>
      </c>
      <c r="C466" t="s">
        <v>376</v>
      </c>
      <c r="D466">
        <v>202503</v>
      </c>
      <c r="E466">
        <v>50</v>
      </c>
      <c r="G466">
        <v>2014</v>
      </c>
      <c r="I466" t="str">
        <f>VLOOKUP(G466,Kostenstellen!$A$1:$C$17,2,0)</f>
        <v>Buzik</v>
      </c>
    </row>
    <row r="467" spans="1:9" x14ac:dyDescent="0.2">
      <c r="A467">
        <v>6140</v>
      </c>
      <c r="B467" s="7">
        <v>45747</v>
      </c>
      <c r="C467" t="s">
        <v>376</v>
      </c>
      <c r="D467">
        <v>202503</v>
      </c>
      <c r="E467">
        <v>50</v>
      </c>
      <c r="G467">
        <v>2015</v>
      </c>
      <c r="I467" t="str">
        <f>VLOOKUP(G467,Kostenstellen!$A$1:$C$17,2,0)</f>
        <v>McDade</v>
      </c>
    </row>
    <row r="468" spans="1:9" x14ac:dyDescent="0.2">
      <c r="A468">
        <v>6140</v>
      </c>
      <c r="B468" s="7">
        <v>45747</v>
      </c>
      <c r="C468" t="s">
        <v>376</v>
      </c>
      <c r="D468">
        <v>202503</v>
      </c>
      <c r="E468">
        <v>100</v>
      </c>
      <c r="G468">
        <v>2017</v>
      </c>
      <c r="I468" t="str">
        <f>VLOOKUP(G468,Kostenstellen!$A$1:$C$17,2,0)</f>
        <v>Hartmann</v>
      </c>
    </row>
    <row r="469" spans="1:9" x14ac:dyDescent="0.2">
      <c r="A469">
        <v>6140</v>
      </c>
      <c r="B469" s="7">
        <v>45747</v>
      </c>
      <c r="C469" t="s">
        <v>376</v>
      </c>
      <c r="D469">
        <v>202503</v>
      </c>
      <c r="E469">
        <v>254</v>
      </c>
      <c r="G469">
        <v>2018</v>
      </c>
      <c r="I469" t="str">
        <f>VLOOKUP(G469,Kostenstellen!$A$1:$C$17,2,0)</f>
        <v>Ali Lara</v>
      </c>
    </row>
    <row r="470" spans="1:9" x14ac:dyDescent="0.2">
      <c r="A470">
        <v>6140</v>
      </c>
      <c r="B470" s="7">
        <v>45777</v>
      </c>
      <c r="C470" t="s">
        <v>376</v>
      </c>
      <c r="D470">
        <v>202504</v>
      </c>
      <c r="E470">
        <v>100</v>
      </c>
      <c r="G470">
        <v>2001</v>
      </c>
      <c r="I470" t="str">
        <f>VLOOKUP(G470,Kostenstellen!$A$1:$C$17,2,0)</f>
        <v>Koch Martin</v>
      </c>
    </row>
    <row r="471" spans="1:9" x14ac:dyDescent="0.2">
      <c r="A471">
        <v>6140</v>
      </c>
      <c r="B471" s="7">
        <v>45777</v>
      </c>
      <c r="C471" t="s">
        <v>376</v>
      </c>
      <c r="D471">
        <v>202504</v>
      </c>
      <c r="E471">
        <v>100</v>
      </c>
      <c r="G471">
        <v>2011</v>
      </c>
      <c r="I471" t="str">
        <f>VLOOKUP(G471,Kostenstellen!$A$1:$C$17,2,0)</f>
        <v>Elsner</v>
      </c>
    </row>
    <row r="472" spans="1:9" x14ac:dyDescent="0.2">
      <c r="A472">
        <v>6140</v>
      </c>
      <c r="B472" s="7">
        <v>45777</v>
      </c>
      <c r="C472" t="s">
        <v>376</v>
      </c>
      <c r="D472">
        <v>202504</v>
      </c>
      <c r="E472">
        <v>60</v>
      </c>
      <c r="G472">
        <v>2012</v>
      </c>
      <c r="I472" t="str">
        <f>VLOOKUP(G472,Kostenstellen!$A$1:$C$17,2,0)</f>
        <v>Weingartz</v>
      </c>
    </row>
    <row r="473" spans="1:9" x14ac:dyDescent="0.2">
      <c r="A473">
        <v>6140</v>
      </c>
      <c r="B473" s="7">
        <v>45777</v>
      </c>
      <c r="C473" t="s">
        <v>376</v>
      </c>
      <c r="D473">
        <v>202504</v>
      </c>
      <c r="E473">
        <v>50</v>
      </c>
      <c r="G473">
        <v>2014</v>
      </c>
      <c r="I473" t="str">
        <f>VLOOKUP(G473,Kostenstellen!$A$1:$C$17,2,0)</f>
        <v>Buzik</v>
      </c>
    </row>
    <row r="474" spans="1:9" x14ac:dyDescent="0.2">
      <c r="A474">
        <v>6140</v>
      </c>
      <c r="B474" s="7">
        <v>45777</v>
      </c>
      <c r="C474" t="s">
        <v>376</v>
      </c>
      <c r="D474">
        <v>202504</v>
      </c>
      <c r="E474">
        <v>50</v>
      </c>
      <c r="G474">
        <v>2015</v>
      </c>
      <c r="I474" t="str">
        <f>VLOOKUP(G474,Kostenstellen!$A$1:$C$17,2,0)</f>
        <v>McDade</v>
      </c>
    </row>
    <row r="475" spans="1:9" x14ac:dyDescent="0.2">
      <c r="A475">
        <v>6140</v>
      </c>
      <c r="B475" s="7">
        <v>45777</v>
      </c>
      <c r="C475" t="s">
        <v>376</v>
      </c>
      <c r="D475">
        <v>202504</v>
      </c>
      <c r="E475">
        <v>100</v>
      </c>
      <c r="G475">
        <v>2017</v>
      </c>
      <c r="I475" t="str">
        <f>VLOOKUP(G475,Kostenstellen!$A$1:$C$17,2,0)</f>
        <v>Hartmann</v>
      </c>
    </row>
    <row r="476" spans="1:9" x14ac:dyDescent="0.2">
      <c r="A476">
        <v>6140</v>
      </c>
      <c r="B476" s="7">
        <v>45777</v>
      </c>
      <c r="C476" t="s">
        <v>376</v>
      </c>
      <c r="D476">
        <v>202504</v>
      </c>
      <c r="E476">
        <v>254</v>
      </c>
      <c r="G476">
        <v>2018</v>
      </c>
      <c r="I476" t="str">
        <f>VLOOKUP(G476,Kostenstellen!$A$1:$C$17,2,0)</f>
        <v>Ali Lara</v>
      </c>
    </row>
    <row r="477" spans="1:9" x14ac:dyDescent="0.2">
      <c r="A477">
        <v>6140</v>
      </c>
      <c r="B477" s="7">
        <v>45808</v>
      </c>
      <c r="C477" t="s">
        <v>376</v>
      </c>
      <c r="D477">
        <v>202505</v>
      </c>
      <c r="E477">
        <v>100</v>
      </c>
      <c r="G477">
        <v>2001</v>
      </c>
      <c r="I477" t="str">
        <f>VLOOKUP(G477,Kostenstellen!$A$1:$C$17,2,0)</f>
        <v>Koch Martin</v>
      </c>
    </row>
    <row r="478" spans="1:9" x14ac:dyDescent="0.2">
      <c r="A478">
        <v>6140</v>
      </c>
      <c r="B478" s="7">
        <v>45808</v>
      </c>
      <c r="C478" t="s">
        <v>376</v>
      </c>
      <c r="D478">
        <v>202505</v>
      </c>
      <c r="E478">
        <v>100</v>
      </c>
      <c r="G478">
        <v>2011</v>
      </c>
      <c r="I478" t="str">
        <f>VLOOKUP(G478,Kostenstellen!$A$1:$C$17,2,0)</f>
        <v>Elsner</v>
      </c>
    </row>
    <row r="479" spans="1:9" x14ac:dyDescent="0.2">
      <c r="A479">
        <v>6140</v>
      </c>
      <c r="B479" s="7">
        <v>45808</v>
      </c>
      <c r="C479" t="s">
        <v>376</v>
      </c>
      <c r="D479">
        <v>202505</v>
      </c>
      <c r="E479">
        <v>87.5</v>
      </c>
      <c r="G479">
        <v>2012</v>
      </c>
      <c r="I479" t="str">
        <f>VLOOKUP(G479,Kostenstellen!$A$1:$C$17,2,0)</f>
        <v>Weingartz</v>
      </c>
    </row>
    <row r="480" spans="1:9" x14ac:dyDescent="0.2">
      <c r="A480">
        <v>6140</v>
      </c>
      <c r="B480" s="7">
        <v>45808</v>
      </c>
      <c r="C480" t="s">
        <v>376</v>
      </c>
      <c r="D480">
        <v>202505</v>
      </c>
      <c r="E480">
        <v>50</v>
      </c>
      <c r="G480">
        <v>2014</v>
      </c>
      <c r="I480" t="str">
        <f>VLOOKUP(G480,Kostenstellen!$A$1:$C$17,2,0)</f>
        <v>Buzik</v>
      </c>
    </row>
    <row r="481" spans="1:9" x14ac:dyDescent="0.2">
      <c r="A481">
        <v>6140</v>
      </c>
      <c r="B481" s="7">
        <v>45808</v>
      </c>
      <c r="C481" t="s">
        <v>376</v>
      </c>
      <c r="D481">
        <v>202505</v>
      </c>
      <c r="E481">
        <v>50</v>
      </c>
      <c r="G481">
        <v>2015</v>
      </c>
      <c r="I481" t="str">
        <f>VLOOKUP(G481,Kostenstellen!$A$1:$C$17,2,0)</f>
        <v>McDade</v>
      </c>
    </row>
    <row r="482" spans="1:9" x14ac:dyDescent="0.2">
      <c r="A482">
        <v>6140</v>
      </c>
      <c r="B482" s="7">
        <v>45808</v>
      </c>
      <c r="C482" t="s">
        <v>376</v>
      </c>
      <c r="D482">
        <v>202505</v>
      </c>
      <c r="E482">
        <v>100</v>
      </c>
      <c r="G482">
        <v>2017</v>
      </c>
      <c r="I482" t="str">
        <f>VLOOKUP(G482,Kostenstellen!$A$1:$C$17,2,0)</f>
        <v>Hartmann</v>
      </c>
    </row>
    <row r="483" spans="1:9" x14ac:dyDescent="0.2">
      <c r="A483">
        <v>6140</v>
      </c>
      <c r="B483" s="7">
        <v>45808</v>
      </c>
      <c r="C483" t="s">
        <v>376</v>
      </c>
      <c r="D483">
        <v>202505</v>
      </c>
      <c r="E483">
        <v>254</v>
      </c>
      <c r="G483">
        <v>2018</v>
      </c>
      <c r="I483" t="str">
        <f>VLOOKUP(G483,Kostenstellen!$A$1:$C$17,2,0)</f>
        <v>Ali Lara</v>
      </c>
    </row>
    <row r="484" spans="1:9" x14ac:dyDescent="0.2">
      <c r="A484">
        <v>6140</v>
      </c>
      <c r="B484" s="7">
        <v>45838</v>
      </c>
      <c r="C484" t="s">
        <v>376</v>
      </c>
      <c r="D484">
        <v>202506</v>
      </c>
      <c r="E484">
        <v>100</v>
      </c>
      <c r="G484">
        <v>2001</v>
      </c>
      <c r="I484" t="str">
        <f>VLOOKUP(G484,Kostenstellen!$A$1:$C$17,2,0)</f>
        <v>Koch Martin</v>
      </c>
    </row>
    <row r="485" spans="1:9" x14ac:dyDescent="0.2">
      <c r="A485">
        <v>6140</v>
      </c>
      <c r="B485" s="7">
        <v>45838</v>
      </c>
      <c r="C485" t="s">
        <v>376</v>
      </c>
      <c r="D485">
        <v>202506</v>
      </c>
      <c r="E485">
        <v>100</v>
      </c>
      <c r="G485">
        <v>2011</v>
      </c>
      <c r="I485" t="str">
        <f>VLOOKUP(G485,Kostenstellen!$A$1:$C$17,2,0)</f>
        <v>Elsner</v>
      </c>
    </row>
    <row r="486" spans="1:9" x14ac:dyDescent="0.2">
      <c r="A486">
        <v>6140</v>
      </c>
      <c r="B486" s="7">
        <v>45838</v>
      </c>
      <c r="C486" t="s">
        <v>376</v>
      </c>
      <c r="D486">
        <v>202506</v>
      </c>
      <c r="E486">
        <v>87.5</v>
      </c>
      <c r="G486">
        <v>2012</v>
      </c>
      <c r="I486" t="str">
        <f>VLOOKUP(G486,Kostenstellen!$A$1:$C$17,2,0)</f>
        <v>Weingartz</v>
      </c>
    </row>
    <row r="487" spans="1:9" x14ac:dyDescent="0.2">
      <c r="A487">
        <v>6140</v>
      </c>
      <c r="B487" s="7">
        <v>45838</v>
      </c>
      <c r="C487" t="s">
        <v>376</v>
      </c>
      <c r="D487">
        <v>202506</v>
      </c>
      <c r="E487">
        <v>50</v>
      </c>
      <c r="G487">
        <v>2014</v>
      </c>
      <c r="I487" t="str">
        <f>VLOOKUP(G487,Kostenstellen!$A$1:$C$17,2,0)</f>
        <v>Buzik</v>
      </c>
    </row>
    <row r="488" spans="1:9" x14ac:dyDescent="0.2">
      <c r="A488">
        <v>6140</v>
      </c>
      <c r="B488" s="7">
        <v>45838</v>
      </c>
      <c r="C488" t="s">
        <v>376</v>
      </c>
      <c r="D488">
        <v>202506</v>
      </c>
      <c r="E488">
        <v>50</v>
      </c>
      <c r="G488">
        <v>2015</v>
      </c>
      <c r="I488" t="str">
        <f>VLOOKUP(G488,Kostenstellen!$A$1:$C$17,2,0)</f>
        <v>McDade</v>
      </c>
    </row>
    <row r="489" spans="1:9" x14ac:dyDescent="0.2">
      <c r="A489">
        <v>6140</v>
      </c>
      <c r="B489" s="7">
        <v>45838</v>
      </c>
      <c r="C489" t="s">
        <v>376</v>
      </c>
      <c r="D489">
        <v>202506</v>
      </c>
      <c r="E489">
        <v>100</v>
      </c>
      <c r="G489">
        <v>2017</v>
      </c>
      <c r="I489" t="str">
        <f>VLOOKUP(G489,Kostenstellen!$A$1:$C$17,2,0)</f>
        <v>Hartmann</v>
      </c>
    </row>
    <row r="490" spans="1:9" x14ac:dyDescent="0.2">
      <c r="A490">
        <v>6140</v>
      </c>
      <c r="B490" s="7">
        <v>45838</v>
      </c>
      <c r="C490" t="s">
        <v>376</v>
      </c>
      <c r="D490">
        <v>202506</v>
      </c>
      <c r="E490">
        <v>254</v>
      </c>
      <c r="G490">
        <v>2018</v>
      </c>
      <c r="I490" t="str">
        <f>VLOOKUP(G490,Kostenstellen!$A$1:$C$17,2,0)</f>
        <v>Ali Lara</v>
      </c>
    </row>
    <row r="491" spans="1:9" x14ac:dyDescent="0.2">
      <c r="A491">
        <v>6140</v>
      </c>
      <c r="B491" s="7">
        <v>45869</v>
      </c>
      <c r="C491" t="s">
        <v>376</v>
      </c>
      <c r="D491">
        <v>202507</v>
      </c>
      <c r="E491">
        <v>100</v>
      </c>
      <c r="G491">
        <v>2001</v>
      </c>
      <c r="I491" t="str">
        <f>VLOOKUP(G491,Kostenstellen!$A$1:$C$17,2,0)</f>
        <v>Koch Martin</v>
      </c>
    </row>
    <row r="492" spans="1:9" x14ac:dyDescent="0.2">
      <c r="A492">
        <v>6140</v>
      </c>
      <c r="B492" s="7">
        <v>45869</v>
      </c>
      <c r="C492" t="s">
        <v>376</v>
      </c>
      <c r="D492">
        <v>202507</v>
      </c>
      <c r="E492">
        <v>100</v>
      </c>
      <c r="G492">
        <v>2011</v>
      </c>
      <c r="I492" t="str">
        <f>VLOOKUP(G492,Kostenstellen!$A$1:$C$17,2,0)</f>
        <v>Elsner</v>
      </c>
    </row>
    <row r="493" spans="1:9" x14ac:dyDescent="0.2">
      <c r="A493">
        <v>6140</v>
      </c>
      <c r="B493" s="7">
        <v>45869</v>
      </c>
      <c r="C493" t="s">
        <v>376</v>
      </c>
      <c r="D493">
        <v>202507</v>
      </c>
      <c r="E493">
        <v>87.5</v>
      </c>
      <c r="G493">
        <v>2012</v>
      </c>
      <c r="I493" t="str">
        <f>VLOOKUP(G493,Kostenstellen!$A$1:$C$17,2,0)</f>
        <v>Weingartz</v>
      </c>
    </row>
    <row r="494" spans="1:9" x14ac:dyDescent="0.2">
      <c r="A494">
        <v>6140</v>
      </c>
      <c r="B494" s="7">
        <v>45869</v>
      </c>
      <c r="C494" t="s">
        <v>376</v>
      </c>
      <c r="D494">
        <v>202507</v>
      </c>
      <c r="E494">
        <v>50</v>
      </c>
      <c r="G494">
        <v>2014</v>
      </c>
      <c r="I494" t="str">
        <f>VLOOKUP(G494,Kostenstellen!$A$1:$C$17,2,0)</f>
        <v>Buzik</v>
      </c>
    </row>
    <row r="495" spans="1:9" x14ac:dyDescent="0.2">
      <c r="A495">
        <v>6140</v>
      </c>
      <c r="B495" s="7">
        <v>45869</v>
      </c>
      <c r="C495" t="s">
        <v>376</v>
      </c>
      <c r="D495">
        <v>202507</v>
      </c>
      <c r="E495">
        <v>50</v>
      </c>
      <c r="G495">
        <v>2015</v>
      </c>
      <c r="I495" t="str">
        <f>VLOOKUP(G495,Kostenstellen!$A$1:$C$17,2,0)</f>
        <v>McDade</v>
      </c>
    </row>
    <row r="496" spans="1:9" x14ac:dyDescent="0.2">
      <c r="A496">
        <v>6140</v>
      </c>
      <c r="B496" s="7">
        <v>45869</v>
      </c>
      <c r="C496" t="s">
        <v>376</v>
      </c>
      <c r="D496">
        <v>202507</v>
      </c>
      <c r="E496">
        <v>100</v>
      </c>
      <c r="G496">
        <v>2017</v>
      </c>
      <c r="I496" t="str">
        <f>VLOOKUP(G496,Kostenstellen!$A$1:$C$17,2,0)</f>
        <v>Hartmann</v>
      </c>
    </row>
    <row r="497" spans="1:9" x14ac:dyDescent="0.2">
      <c r="A497">
        <v>6140</v>
      </c>
      <c r="B497" s="7">
        <v>45869</v>
      </c>
      <c r="C497" t="s">
        <v>376</v>
      </c>
      <c r="D497">
        <v>202507</v>
      </c>
      <c r="E497">
        <v>254</v>
      </c>
      <c r="G497">
        <v>2018</v>
      </c>
      <c r="I497" t="str">
        <f>VLOOKUP(G497,Kostenstellen!$A$1:$C$17,2,0)</f>
        <v>Ali Lara</v>
      </c>
    </row>
    <row r="498" spans="1:9" x14ac:dyDescent="0.2">
      <c r="A498">
        <v>6140</v>
      </c>
      <c r="B498" s="7">
        <v>45900</v>
      </c>
      <c r="C498" t="s">
        <v>376</v>
      </c>
      <c r="D498">
        <v>202508</v>
      </c>
      <c r="E498">
        <v>100</v>
      </c>
      <c r="G498">
        <v>2001</v>
      </c>
      <c r="I498" t="str">
        <f>VLOOKUP(G498,Kostenstellen!$A$1:$C$17,2,0)</f>
        <v>Koch Martin</v>
      </c>
    </row>
    <row r="499" spans="1:9" x14ac:dyDescent="0.2">
      <c r="A499">
        <v>6140</v>
      </c>
      <c r="B499" s="7">
        <v>45900</v>
      </c>
      <c r="C499" t="s">
        <v>376</v>
      </c>
      <c r="D499">
        <v>202508</v>
      </c>
      <c r="E499">
        <v>100</v>
      </c>
      <c r="G499">
        <v>2011</v>
      </c>
      <c r="I499" t="str">
        <f>VLOOKUP(G499,Kostenstellen!$A$1:$C$17,2,0)</f>
        <v>Elsner</v>
      </c>
    </row>
    <row r="500" spans="1:9" x14ac:dyDescent="0.2">
      <c r="A500">
        <v>6140</v>
      </c>
      <c r="B500" s="7">
        <v>45900</v>
      </c>
      <c r="C500" t="s">
        <v>376</v>
      </c>
      <c r="D500">
        <v>202508</v>
      </c>
      <c r="E500">
        <v>87.5</v>
      </c>
      <c r="G500">
        <v>2012</v>
      </c>
      <c r="I500" t="str">
        <f>VLOOKUP(G500,Kostenstellen!$A$1:$C$17,2,0)</f>
        <v>Weingartz</v>
      </c>
    </row>
    <row r="501" spans="1:9" x14ac:dyDescent="0.2">
      <c r="A501">
        <v>6140</v>
      </c>
      <c r="B501" s="7">
        <v>45900</v>
      </c>
      <c r="C501" t="s">
        <v>376</v>
      </c>
      <c r="D501">
        <v>202508</v>
      </c>
      <c r="E501">
        <v>50</v>
      </c>
      <c r="G501">
        <v>2014</v>
      </c>
      <c r="I501" t="str">
        <f>VLOOKUP(G501,Kostenstellen!$A$1:$C$17,2,0)</f>
        <v>Buzik</v>
      </c>
    </row>
    <row r="502" spans="1:9" x14ac:dyDescent="0.2">
      <c r="A502">
        <v>6140</v>
      </c>
      <c r="B502" s="7">
        <v>45900</v>
      </c>
      <c r="C502" t="s">
        <v>376</v>
      </c>
      <c r="D502">
        <v>202508</v>
      </c>
      <c r="E502">
        <v>50</v>
      </c>
      <c r="G502">
        <v>2015</v>
      </c>
      <c r="I502" t="str">
        <f>VLOOKUP(G502,Kostenstellen!$A$1:$C$17,2,0)</f>
        <v>McDade</v>
      </c>
    </row>
    <row r="503" spans="1:9" x14ac:dyDescent="0.2">
      <c r="A503">
        <v>6140</v>
      </c>
      <c r="B503" s="7">
        <v>45900</v>
      </c>
      <c r="C503" t="s">
        <v>376</v>
      </c>
      <c r="D503">
        <v>202508</v>
      </c>
      <c r="E503">
        <v>100</v>
      </c>
      <c r="G503">
        <v>2017</v>
      </c>
      <c r="I503" t="str">
        <f>VLOOKUP(G503,Kostenstellen!$A$1:$C$17,2,0)</f>
        <v>Hartmann</v>
      </c>
    </row>
    <row r="504" spans="1:9" x14ac:dyDescent="0.2">
      <c r="A504">
        <v>6140</v>
      </c>
      <c r="B504" s="7">
        <v>45900</v>
      </c>
      <c r="C504" t="s">
        <v>376</v>
      </c>
      <c r="D504">
        <v>202508</v>
      </c>
      <c r="E504">
        <v>254</v>
      </c>
      <c r="G504">
        <v>2018</v>
      </c>
      <c r="I504" t="str">
        <f>VLOOKUP(G504,Kostenstellen!$A$1:$C$17,2,0)</f>
        <v>Ali Lara</v>
      </c>
    </row>
    <row r="505" spans="1:9" x14ac:dyDescent="0.2">
      <c r="A505">
        <v>6140</v>
      </c>
      <c r="B505" s="7">
        <v>45930</v>
      </c>
      <c r="C505" t="s">
        <v>376</v>
      </c>
      <c r="D505">
        <v>202509</v>
      </c>
      <c r="E505">
        <v>100</v>
      </c>
      <c r="G505">
        <v>2001</v>
      </c>
      <c r="I505" t="str">
        <f>VLOOKUP(G505,Kostenstellen!$A$1:$C$17,2,0)</f>
        <v>Koch Martin</v>
      </c>
    </row>
    <row r="506" spans="1:9" x14ac:dyDescent="0.2">
      <c r="A506">
        <v>6140</v>
      </c>
      <c r="B506" s="7">
        <v>45930</v>
      </c>
      <c r="C506" t="s">
        <v>376</v>
      </c>
      <c r="D506">
        <v>202509</v>
      </c>
      <c r="E506">
        <v>100</v>
      </c>
      <c r="G506">
        <v>2011</v>
      </c>
      <c r="I506" t="str">
        <f>VLOOKUP(G506,Kostenstellen!$A$1:$C$17,2,0)</f>
        <v>Elsner</v>
      </c>
    </row>
    <row r="507" spans="1:9" x14ac:dyDescent="0.2">
      <c r="A507">
        <v>6140</v>
      </c>
      <c r="B507" s="7">
        <v>45930</v>
      </c>
      <c r="C507" t="s">
        <v>376</v>
      </c>
      <c r="D507">
        <v>202509</v>
      </c>
      <c r="E507">
        <v>87.5</v>
      </c>
      <c r="G507">
        <v>2012</v>
      </c>
      <c r="I507" t="str">
        <f>VLOOKUP(G507,Kostenstellen!$A$1:$C$17,2,0)</f>
        <v>Weingartz</v>
      </c>
    </row>
    <row r="508" spans="1:9" x14ac:dyDescent="0.2">
      <c r="A508">
        <v>6140</v>
      </c>
      <c r="B508" s="7">
        <v>45930</v>
      </c>
      <c r="C508" t="s">
        <v>376</v>
      </c>
      <c r="D508">
        <v>202509</v>
      </c>
      <c r="E508">
        <v>50</v>
      </c>
      <c r="G508">
        <v>2014</v>
      </c>
      <c r="I508" t="str">
        <f>VLOOKUP(G508,Kostenstellen!$A$1:$C$17,2,0)</f>
        <v>Buzik</v>
      </c>
    </row>
    <row r="509" spans="1:9" x14ac:dyDescent="0.2">
      <c r="A509">
        <v>6140</v>
      </c>
      <c r="B509" s="7">
        <v>45930</v>
      </c>
      <c r="C509" t="s">
        <v>376</v>
      </c>
      <c r="D509">
        <v>202509</v>
      </c>
      <c r="E509">
        <v>50</v>
      </c>
      <c r="G509">
        <v>2015</v>
      </c>
      <c r="I509" t="str">
        <f>VLOOKUP(G509,Kostenstellen!$A$1:$C$17,2,0)</f>
        <v>McDade</v>
      </c>
    </row>
    <row r="510" spans="1:9" x14ac:dyDescent="0.2">
      <c r="A510">
        <v>6140</v>
      </c>
      <c r="B510" s="7">
        <v>45930</v>
      </c>
      <c r="C510" t="s">
        <v>376</v>
      </c>
      <c r="D510">
        <v>202509</v>
      </c>
      <c r="E510">
        <v>100</v>
      </c>
      <c r="G510">
        <v>2017</v>
      </c>
      <c r="I510" t="str">
        <f>VLOOKUP(G510,Kostenstellen!$A$1:$C$17,2,0)</f>
        <v>Hartmann</v>
      </c>
    </row>
    <row r="511" spans="1:9" x14ac:dyDescent="0.2">
      <c r="A511">
        <v>6140</v>
      </c>
      <c r="B511" s="7">
        <v>45930</v>
      </c>
      <c r="C511" t="s">
        <v>376</v>
      </c>
      <c r="D511">
        <v>202509</v>
      </c>
      <c r="E511">
        <v>254</v>
      </c>
      <c r="G511">
        <v>2018</v>
      </c>
      <c r="I511" t="str">
        <f>VLOOKUP(G511,Kostenstellen!$A$1:$C$17,2,0)</f>
        <v>Ali Lara</v>
      </c>
    </row>
    <row r="512" spans="1:9" x14ac:dyDescent="0.2">
      <c r="A512">
        <v>6140</v>
      </c>
      <c r="B512" s="7">
        <v>45961</v>
      </c>
      <c r="C512" t="s">
        <v>376</v>
      </c>
      <c r="D512">
        <v>202510</v>
      </c>
      <c r="E512">
        <v>100</v>
      </c>
      <c r="G512">
        <v>2001</v>
      </c>
      <c r="I512" t="str">
        <f>VLOOKUP(G512,Kostenstellen!$A$1:$C$17,2,0)</f>
        <v>Koch Martin</v>
      </c>
    </row>
    <row r="513" spans="1:9" x14ac:dyDescent="0.2">
      <c r="A513">
        <v>6140</v>
      </c>
      <c r="B513" s="7">
        <v>45961</v>
      </c>
      <c r="C513" t="s">
        <v>376</v>
      </c>
      <c r="D513">
        <v>202510</v>
      </c>
      <c r="E513">
        <v>100</v>
      </c>
      <c r="G513">
        <v>2011</v>
      </c>
      <c r="I513" t="str">
        <f>VLOOKUP(G513,Kostenstellen!$A$1:$C$17,2,0)</f>
        <v>Elsner</v>
      </c>
    </row>
    <row r="514" spans="1:9" x14ac:dyDescent="0.2">
      <c r="A514">
        <v>6140</v>
      </c>
      <c r="B514" s="7">
        <v>45961</v>
      </c>
      <c r="C514" t="s">
        <v>376</v>
      </c>
      <c r="D514">
        <v>202510</v>
      </c>
      <c r="E514">
        <v>125</v>
      </c>
      <c r="G514">
        <v>2012</v>
      </c>
      <c r="I514" t="str">
        <f>VLOOKUP(G514,Kostenstellen!$A$1:$C$17,2,0)</f>
        <v>Weingartz</v>
      </c>
    </row>
    <row r="515" spans="1:9" x14ac:dyDescent="0.2">
      <c r="A515">
        <v>6140</v>
      </c>
      <c r="B515" s="7">
        <v>45961</v>
      </c>
      <c r="C515" t="s">
        <v>376</v>
      </c>
      <c r="D515">
        <v>202510</v>
      </c>
      <c r="E515">
        <v>50</v>
      </c>
      <c r="G515">
        <v>2014</v>
      </c>
      <c r="I515" t="str">
        <f>VLOOKUP(G515,Kostenstellen!$A$1:$C$17,2,0)</f>
        <v>Buzik</v>
      </c>
    </row>
    <row r="516" spans="1:9" x14ac:dyDescent="0.2">
      <c r="A516">
        <v>6140</v>
      </c>
      <c r="B516" s="7">
        <v>45961</v>
      </c>
      <c r="C516" t="s">
        <v>376</v>
      </c>
      <c r="D516">
        <v>202510</v>
      </c>
      <c r="E516">
        <v>50</v>
      </c>
      <c r="G516">
        <v>2015</v>
      </c>
      <c r="I516" t="str">
        <f>VLOOKUP(G516,Kostenstellen!$A$1:$C$17,2,0)</f>
        <v>McDade</v>
      </c>
    </row>
    <row r="517" spans="1:9" x14ac:dyDescent="0.2">
      <c r="A517">
        <v>6140</v>
      </c>
      <c r="B517" s="7">
        <v>45961</v>
      </c>
      <c r="C517" t="s">
        <v>376</v>
      </c>
      <c r="D517">
        <v>202510</v>
      </c>
      <c r="E517">
        <v>100</v>
      </c>
      <c r="G517">
        <v>2017</v>
      </c>
      <c r="I517" t="str">
        <f>VLOOKUP(G517,Kostenstellen!$A$1:$C$17,2,0)</f>
        <v>Hartmann</v>
      </c>
    </row>
    <row r="518" spans="1:9" x14ac:dyDescent="0.2">
      <c r="A518">
        <v>6140</v>
      </c>
      <c r="B518" s="7">
        <v>45961</v>
      </c>
      <c r="C518" t="s">
        <v>376</v>
      </c>
      <c r="D518">
        <v>202510</v>
      </c>
      <c r="E518">
        <v>254</v>
      </c>
      <c r="G518">
        <v>2018</v>
      </c>
      <c r="I518" t="str">
        <f>VLOOKUP(G518,Kostenstellen!$A$1:$C$17,2,0)</f>
        <v>Ali Lara</v>
      </c>
    </row>
    <row r="519" spans="1:9" x14ac:dyDescent="0.2">
      <c r="A519">
        <v>6140</v>
      </c>
      <c r="B519" s="7">
        <v>45991</v>
      </c>
      <c r="C519" t="s">
        <v>376</v>
      </c>
      <c r="D519">
        <v>202511</v>
      </c>
      <c r="E519">
        <v>100</v>
      </c>
      <c r="G519">
        <v>2001</v>
      </c>
      <c r="I519" t="str">
        <f>VLOOKUP(G519,Kostenstellen!$A$1:$C$17,2,0)</f>
        <v>Koch Martin</v>
      </c>
    </row>
    <row r="520" spans="1:9" x14ac:dyDescent="0.2">
      <c r="A520">
        <v>6140</v>
      </c>
      <c r="B520" s="7">
        <v>45991</v>
      </c>
      <c r="C520" t="s">
        <v>376</v>
      </c>
      <c r="D520">
        <v>202511</v>
      </c>
      <c r="E520">
        <v>100</v>
      </c>
      <c r="G520">
        <v>2011</v>
      </c>
      <c r="I520" t="str">
        <f>VLOOKUP(G520,Kostenstellen!$A$1:$C$17,2,0)</f>
        <v>Elsner</v>
      </c>
    </row>
    <row r="521" spans="1:9" x14ac:dyDescent="0.2">
      <c r="A521">
        <v>6140</v>
      </c>
      <c r="B521" s="7">
        <v>45991</v>
      </c>
      <c r="C521" t="s">
        <v>376</v>
      </c>
      <c r="D521">
        <v>202511</v>
      </c>
      <c r="E521">
        <v>100</v>
      </c>
      <c r="G521">
        <v>2012</v>
      </c>
      <c r="I521" t="str">
        <f>VLOOKUP(G521,Kostenstellen!$A$1:$C$17,2,0)</f>
        <v>Weingartz</v>
      </c>
    </row>
    <row r="522" spans="1:9" x14ac:dyDescent="0.2">
      <c r="A522">
        <v>6140</v>
      </c>
      <c r="B522" s="7">
        <v>45991</v>
      </c>
      <c r="C522" t="s">
        <v>376</v>
      </c>
      <c r="D522">
        <v>202511</v>
      </c>
      <c r="E522">
        <v>50</v>
      </c>
      <c r="G522">
        <v>2014</v>
      </c>
      <c r="I522" t="str">
        <f>VLOOKUP(G522,Kostenstellen!$A$1:$C$17,2,0)</f>
        <v>Buzik</v>
      </c>
    </row>
    <row r="523" spans="1:9" x14ac:dyDescent="0.2">
      <c r="A523">
        <v>6140</v>
      </c>
      <c r="B523" s="7">
        <v>45991</v>
      </c>
      <c r="C523" t="s">
        <v>376</v>
      </c>
      <c r="D523">
        <v>202511</v>
      </c>
      <c r="E523">
        <v>50</v>
      </c>
      <c r="G523">
        <v>2015</v>
      </c>
      <c r="I523" t="str">
        <f>VLOOKUP(G523,Kostenstellen!$A$1:$C$17,2,0)</f>
        <v>McDade</v>
      </c>
    </row>
    <row r="524" spans="1:9" x14ac:dyDescent="0.2">
      <c r="A524">
        <v>6140</v>
      </c>
      <c r="B524" s="7">
        <v>45991</v>
      </c>
      <c r="C524" t="s">
        <v>376</v>
      </c>
      <c r="D524">
        <v>202511</v>
      </c>
      <c r="E524">
        <v>100</v>
      </c>
      <c r="G524">
        <v>2017</v>
      </c>
      <c r="I524" t="str">
        <f>VLOOKUP(G524,Kostenstellen!$A$1:$C$17,2,0)</f>
        <v>Hartmann</v>
      </c>
    </row>
    <row r="525" spans="1:9" x14ac:dyDescent="0.2">
      <c r="A525">
        <v>6140</v>
      </c>
      <c r="B525" s="7">
        <v>45991</v>
      </c>
      <c r="C525" t="s">
        <v>376</v>
      </c>
      <c r="D525">
        <v>202511</v>
      </c>
      <c r="E525">
        <v>254</v>
      </c>
      <c r="G525">
        <v>2018</v>
      </c>
      <c r="I525" t="str">
        <f>VLOOKUP(G525,Kostenstellen!$A$1:$C$17,2,0)</f>
        <v>Ali Lara</v>
      </c>
    </row>
    <row r="526" spans="1:9" x14ac:dyDescent="0.2">
      <c r="A526">
        <v>6140</v>
      </c>
      <c r="B526" s="7">
        <v>46022</v>
      </c>
      <c r="C526" t="s">
        <v>376</v>
      </c>
      <c r="D526">
        <v>202512</v>
      </c>
      <c r="E526">
        <v>100</v>
      </c>
      <c r="G526">
        <v>2001</v>
      </c>
      <c r="I526" t="str">
        <f>VLOOKUP(G526,Kostenstellen!$A$1:$C$17,2,0)</f>
        <v>Koch Martin</v>
      </c>
    </row>
    <row r="527" spans="1:9" x14ac:dyDescent="0.2">
      <c r="A527">
        <v>6140</v>
      </c>
      <c r="B527" s="7">
        <v>46022</v>
      </c>
      <c r="C527" t="s">
        <v>376</v>
      </c>
      <c r="D527">
        <v>202512</v>
      </c>
      <c r="E527">
        <v>100</v>
      </c>
      <c r="G527">
        <v>2011</v>
      </c>
      <c r="I527" t="str">
        <f>VLOOKUP(G527,Kostenstellen!$A$1:$C$17,2,0)</f>
        <v>Elsner</v>
      </c>
    </row>
    <row r="528" spans="1:9" x14ac:dyDescent="0.2">
      <c r="A528">
        <v>6140</v>
      </c>
      <c r="B528" s="7">
        <v>46022</v>
      </c>
      <c r="C528" t="s">
        <v>376</v>
      </c>
      <c r="D528">
        <v>202512</v>
      </c>
      <c r="E528">
        <v>100</v>
      </c>
      <c r="G528">
        <v>2012</v>
      </c>
      <c r="I528" t="str">
        <f>VLOOKUP(G528,Kostenstellen!$A$1:$C$17,2,0)</f>
        <v>Weingartz</v>
      </c>
    </row>
    <row r="529" spans="1:9" x14ac:dyDescent="0.2">
      <c r="A529">
        <v>6140</v>
      </c>
      <c r="B529" s="7">
        <v>46022</v>
      </c>
      <c r="C529" t="s">
        <v>376</v>
      </c>
      <c r="D529">
        <v>202512</v>
      </c>
      <c r="E529">
        <v>50</v>
      </c>
      <c r="G529">
        <v>2014</v>
      </c>
      <c r="I529" t="str">
        <f>VLOOKUP(G529,Kostenstellen!$A$1:$C$17,2,0)</f>
        <v>Buzik</v>
      </c>
    </row>
    <row r="530" spans="1:9" x14ac:dyDescent="0.2">
      <c r="A530">
        <v>6140</v>
      </c>
      <c r="B530" s="7">
        <v>46022</v>
      </c>
      <c r="C530" t="s">
        <v>376</v>
      </c>
      <c r="D530">
        <v>202512</v>
      </c>
      <c r="E530">
        <v>50</v>
      </c>
      <c r="G530">
        <v>2015</v>
      </c>
      <c r="I530" t="str">
        <f>VLOOKUP(G530,Kostenstellen!$A$1:$C$17,2,0)</f>
        <v>McDade</v>
      </c>
    </row>
    <row r="531" spans="1:9" x14ac:dyDescent="0.2">
      <c r="A531">
        <v>6140</v>
      </c>
      <c r="B531" s="7">
        <v>46022</v>
      </c>
      <c r="C531" t="s">
        <v>376</v>
      </c>
      <c r="D531">
        <v>202512</v>
      </c>
      <c r="E531">
        <v>100</v>
      </c>
      <c r="G531">
        <v>2017</v>
      </c>
      <c r="I531" t="str">
        <f>VLOOKUP(G531,Kostenstellen!$A$1:$C$17,2,0)</f>
        <v>Hartmann</v>
      </c>
    </row>
    <row r="532" spans="1:9" x14ac:dyDescent="0.2">
      <c r="A532">
        <v>6140</v>
      </c>
      <c r="B532" s="7">
        <v>46022</v>
      </c>
      <c r="C532" t="s">
        <v>376</v>
      </c>
      <c r="D532">
        <v>202512</v>
      </c>
      <c r="E532">
        <v>254</v>
      </c>
      <c r="G532">
        <v>2018</v>
      </c>
      <c r="I532" t="str">
        <f>VLOOKUP(G532,Kostenstellen!$A$1:$C$17,2,0)</f>
        <v>Ali Lara</v>
      </c>
    </row>
    <row r="533" spans="1:9" x14ac:dyDescent="0.2">
      <c r="A533">
        <v>6201</v>
      </c>
      <c r="B533" s="7">
        <v>45688</v>
      </c>
      <c r="C533" t="s">
        <v>377</v>
      </c>
      <c r="D533" t="s">
        <v>352</v>
      </c>
      <c r="E533" s="6">
        <v>15726.33</v>
      </c>
      <c r="G533">
        <v>200</v>
      </c>
      <c r="I533" t="str">
        <f>VLOOKUP(G533,Kostenstellen!$A$1:$C$17,2,0)</f>
        <v>aqua</v>
      </c>
    </row>
    <row r="534" spans="1:9" x14ac:dyDescent="0.2">
      <c r="A534">
        <v>6201</v>
      </c>
      <c r="B534" s="7">
        <v>45716</v>
      </c>
      <c r="C534" t="s">
        <v>378</v>
      </c>
      <c r="D534" t="s">
        <v>352</v>
      </c>
      <c r="E534" s="6">
        <v>15726.33</v>
      </c>
      <c r="G534">
        <v>200</v>
      </c>
      <c r="I534" t="str">
        <f>VLOOKUP(G534,Kostenstellen!$A$1:$C$17,2,0)</f>
        <v>aqua</v>
      </c>
    </row>
    <row r="535" spans="1:9" x14ac:dyDescent="0.2">
      <c r="A535">
        <v>6201</v>
      </c>
      <c r="B535" s="7">
        <v>45747</v>
      </c>
      <c r="C535" t="s">
        <v>379</v>
      </c>
      <c r="D535" t="s">
        <v>352</v>
      </c>
      <c r="E535" s="6">
        <v>15726.33</v>
      </c>
      <c r="G535">
        <v>200</v>
      </c>
      <c r="I535" t="str">
        <f>VLOOKUP(G535,Kostenstellen!$A$1:$C$17,2,0)</f>
        <v>aqua</v>
      </c>
    </row>
    <row r="536" spans="1:9" x14ac:dyDescent="0.2">
      <c r="A536">
        <v>6201</v>
      </c>
      <c r="B536" s="7">
        <v>45777</v>
      </c>
      <c r="C536" t="s">
        <v>379</v>
      </c>
      <c r="D536" t="s">
        <v>352</v>
      </c>
      <c r="E536" s="6">
        <v>15726.33</v>
      </c>
      <c r="G536">
        <v>200</v>
      </c>
      <c r="I536" t="str">
        <f>VLOOKUP(G536,Kostenstellen!$A$1:$C$17,2,0)</f>
        <v>aqua</v>
      </c>
    </row>
    <row r="537" spans="1:9" x14ac:dyDescent="0.2">
      <c r="A537">
        <v>6201</v>
      </c>
      <c r="B537" s="7">
        <v>45808</v>
      </c>
      <c r="C537" t="s">
        <v>379</v>
      </c>
      <c r="D537" t="s">
        <v>352</v>
      </c>
      <c r="E537" s="6">
        <v>15726.33</v>
      </c>
      <c r="G537">
        <v>200</v>
      </c>
      <c r="I537" t="str">
        <f>VLOOKUP(G537,Kostenstellen!$A$1:$C$17,2,0)</f>
        <v>aqua</v>
      </c>
    </row>
    <row r="538" spans="1:9" x14ac:dyDescent="0.2">
      <c r="A538">
        <v>6201</v>
      </c>
      <c r="B538" s="7">
        <v>45838</v>
      </c>
      <c r="C538" t="s">
        <v>379</v>
      </c>
      <c r="D538" t="s">
        <v>352</v>
      </c>
      <c r="E538" s="6">
        <v>15726.33</v>
      </c>
      <c r="G538">
        <v>200</v>
      </c>
      <c r="I538" t="str">
        <f>VLOOKUP(G538,Kostenstellen!$A$1:$C$17,2,0)</f>
        <v>aqua</v>
      </c>
    </row>
    <row r="539" spans="1:9" x14ac:dyDescent="0.2">
      <c r="A539">
        <v>6201</v>
      </c>
      <c r="B539" s="7">
        <v>45869</v>
      </c>
      <c r="C539" t="s">
        <v>379</v>
      </c>
      <c r="D539" t="s">
        <v>352</v>
      </c>
      <c r="E539" s="6">
        <v>15726.33</v>
      </c>
      <c r="G539">
        <v>200</v>
      </c>
      <c r="I539" t="str">
        <f>VLOOKUP(G539,Kostenstellen!$A$1:$C$17,2,0)</f>
        <v>aqua</v>
      </c>
    </row>
    <row r="540" spans="1:9" x14ac:dyDescent="0.2">
      <c r="A540">
        <v>6201</v>
      </c>
      <c r="B540" s="7">
        <v>45899</v>
      </c>
      <c r="C540" t="s">
        <v>379</v>
      </c>
      <c r="D540" t="s">
        <v>352</v>
      </c>
      <c r="E540" s="6">
        <v>15726.33</v>
      </c>
      <c r="G540">
        <v>200</v>
      </c>
      <c r="I540" t="str">
        <f>VLOOKUP(G540,Kostenstellen!$A$1:$C$17,2,0)</f>
        <v>aqua</v>
      </c>
    </row>
    <row r="541" spans="1:9" x14ac:dyDescent="0.2">
      <c r="A541">
        <v>6201</v>
      </c>
      <c r="B541" s="7">
        <v>45930</v>
      </c>
      <c r="C541" t="s">
        <v>379</v>
      </c>
      <c r="D541" t="s">
        <v>352</v>
      </c>
      <c r="E541" s="6">
        <v>15726.33</v>
      </c>
      <c r="G541">
        <v>200</v>
      </c>
      <c r="I541" t="str">
        <f>VLOOKUP(G541,Kostenstellen!$A$1:$C$17,2,0)</f>
        <v>aqua</v>
      </c>
    </row>
    <row r="542" spans="1:9" x14ac:dyDescent="0.2">
      <c r="A542">
        <v>6201</v>
      </c>
      <c r="B542" s="7">
        <v>45960</v>
      </c>
      <c r="C542" t="s">
        <v>379</v>
      </c>
      <c r="D542" t="s">
        <v>352</v>
      </c>
      <c r="E542" s="6">
        <v>15726.33</v>
      </c>
      <c r="G542">
        <v>200</v>
      </c>
      <c r="I542" t="str">
        <f>VLOOKUP(G542,Kostenstellen!$A$1:$C$17,2,0)</f>
        <v>aqua</v>
      </c>
    </row>
    <row r="543" spans="1:9" x14ac:dyDescent="0.2">
      <c r="A543">
        <v>6201</v>
      </c>
      <c r="B543" s="7">
        <v>45991</v>
      </c>
      <c r="C543" t="s">
        <v>379</v>
      </c>
      <c r="D543" t="s">
        <v>352</v>
      </c>
      <c r="E543" s="6">
        <v>15726.33</v>
      </c>
      <c r="G543">
        <v>200</v>
      </c>
      <c r="I543" t="str">
        <f>VLOOKUP(G543,Kostenstellen!$A$1:$C$17,2,0)</f>
        <v>aqua</v>
      </c>
    </row>
    <row r="544" spans="1:9" x14ac:dyDescent="0.2">
      <c r="A544">
        <v>6201</v>
      </c>
      <c r="B544" s="7">
        <v>46021</v>
      </c>
      <c r="C544" t="s">
        <v>379</v>
      </c>
      <c r="D544" t="s">
        <v>352</v>
      </c>
      <c r="E544" s="6">
        <v>15726.33</v>
      </c>
      <c r="G544">
        <v>200</v>
      </c>
      <c r="I544" t="str">
        <f>VLOOKUP(G544,Kostenstellen!$A$1:$C$17,2,0)</f>
        <v>aqua</v>
      </c>
    </row>
    <row r="545" spans="1:9" x14ac:dyDescent="0.2">
      <c r="A545">
        <v>6220</v>
      </c>
      <c r="B545" s="7">
        <v>45688</v>
      </c>
      <c r="C545" t="s">
        <v>380</v>
      </c>
      <c r="D545">
        <v>12025</v>
      </c>
      <c r="E545">
        <v>70</v>
      </c>
      <c r="G545">
        <v>200</v>
      </c>
      <c r="I545" t="str">
        <f>VLOOKUP(G545,Kostenstellen!$A$1:$C$17,2,0)</f>
        <v>aqua</v>
      </c>
    </row>
    <row r="546" spans="1:9" x14ac:dyDescent="0.2">
      <c r="A546">
        <v>6220</v>
      </c>
      <c r="B546" s="7">
        <v>45716</v>
      </c>
      <c r="C546" t="s">
        <v>380</v>
      </c>
      <c r="D546">
        <v>222025</v>
      </c>
      <c r="E546">
        <v>70</v>
      </c>
      <c r="G546">
        <v>200</v>
      </c>
      <c r="I546" t="str">
        <f>VLOOKUP(G546,Kostenstellen!$A$1:$C$17,2,0)</f>
        <v>aqua</v>
      </c>
    </row>
    <row r="547" spans="1:9" x14ac:dyDescent="0.2">
      <c r="A547">
        <v>6220</v>
      </c>
      <c r="B547" s="7">
        <v>45747</v>
      </c>
      <c r="C547" t="s">
        <v>380</v>
      </c>
      <c r="D547">
        <v>32025</v>
      </c>
      <c r="E547">
        <v>70</v>
      </c>
      <c r="G547">
        <v>200</v>
      </c>
      <c r="I547" t="str">
        <f>VLOOKUP(G547,Kostenstellen!$A$1:$C$17,2,0)</f>
        <v>aqua</v>
      </c>
    </row>
    <row r="548" spans="1:9" x14ac:dyDescent="0.2">
      <c r="A548">
        <v>6220</v>
      </c>
      <c r="B548" s="7">
        <v>45777</v>
      </c>
      <c r="C548" t="s">
        <v>380</v>
      </c>
      <c r="D548">
        <v>42025</v>
      </c>
      <c r="E548">
        <v>70</v>
      </c>
      <c r="G548">
        <v>200</v>
      </c>
      <c r="I548" t="str">
        <f>VLOOKUP(G548,Kostenstellen!$A$1:$C$17,2,0)</f>
        <v>aqua</v>
      </c>
    </row>
    <row r="549" spans="1:9" x14ac:dyDescent="0.2">
      <c r="A549">
        <v>6220</v>
      </c>
      <c r="B549" s="7">
        <v>45808</v>
      </c>
      <c r="C549" t="s">
        <v>380</v>
      </c>
      <c r="D549">
        <v>52025</v>
      </c>
      <c r="E549">
        <v>70</v>
      </c>
      <c r="G549">
        <v>200</v>
      </c>
      <c r="I549" t="str">
        <f>VLOOKUP(G549,Kostenstellen!$A$1:$C$17,2,0)</f>
        <v>aqua</v>
      </c>
    </row>
    <row r="550" spans="1:9" x14ac:dyDescent="0.2">
      <c r="A550">
        <v>6220</v>
      </c>
      <c r="B550" s="7">
        <v>45838</v>
      </c>
      <c r="C550" t="s">
        <v>380</v>
      </c>
      <c r="D550">
        <v>62025</v>
      </c>
      <c r="E550">
        <v>70</v>
      </c>
      <c r="G550">
        <v>200</v>
      </c>
      <c r="I550" t="str">
        <f>VLOOKUP(G550,Kostenstellen!$A$1:$C$17,2,0)</f>
        <v>aqua</v>
      </c>
    </row>
    <row r="551" spans="1:9" x14ac:dyDescent="0.2">
      <c r="A551">
        <v>6220</v>
      </c>
      <c r="B551" s="7">
        <v>45869</v>
      </c>
      <c r="C551" t="s">
        <v>380</v>
      </c>
      <c r="D551">
        <v>72025</v>
      </c>
      <c r="E551">
        <v>70</v>
      </c>
      <c r="G551">
        <v>200</v>
      </c>
      <c r="I551" t="str">
        <f>VLOOKUP(G551,Kostenstellen!$A$1:$C$17,2,0)</f>
        <v>aqua</v>
      </c>
    </row>
    <row r="552" spans="1:9" x14ac:dyDescent="0.2">
      <c r="A552">
        <v>6220</v>
      </c>
      <c r="B552" s="7">
        <v>45900</v>
      </c>
      <c r="C552" t="s">
        <v>380</v>
      </c>
      <c r="D552">
        <v>82025</v>
      </c>
      <c r="E552">
        <v>70</v>
      </c>
      <c r="G552">
        <v>200</v>
      </c>
      <c r="I552" t="str">
        <f>VLOOKUP(G552,Kostenstellen!$A$1:$C$17,2,0)</f>
        <v>aqua</v>
      </c>
    </row>
    <row r="553" spans="1:9" x14ac:dyDescent="0.2">
      <c r="A553">
        <v>6220</v>
      </c>
      <c r="B553" s="7">
        <v>45930</v>
      </c>
      <c r="C553" t="s">
        <v>380</v>
      </c>
      <c r="D553">
        <v>92025</v>
      </c>
      <c r="E553">
        <v>70</v>
      </c>
      <c r="G553">
        <v>200</v>
      </c>
      <c r="I553" t="str">
        <f>VLOOKUP(G553,Kostenstellen!$A$1:$C$17,2,0)</f>
        <v>aqua</v>
      </c>
    </row>
    <row r="554" spans="1:9" x14ac:dyDescent="0.2">
      <c r="A554">
        <v>6220</v>
      </c>
      <c r="B554" s="7">
        <v>45961</v>
      </c>
      <c r="C554" t="s">
        <v>380</v>
      </c>
      <c r="D554">
        <v>102025</v>
      </c>
      <c r="E554">
        <v>70</v>
      </c>
      <c r="G554">
        <v>200</v>
      </c>
      <c r="I554" t="str">
        <f>VLOOKUP(G554,Kostenstellen!$A$1:$C$17,2,0)</f>
        <v>aqua</v>
      </c>
    </row>
    <row r="555" spans="1:9" x14ac:dyDescent="0.2">
      <c r="A555">
        <v>6220</v>
      </c>
      <c r="B555" s="7">
        <v>45991</v>
      </c>
      <c r="C555" t="s">
        <v>380</v>
      </c>
      <c r="D555">
        <v>112025</v>
      </c>
      <c r="E555">
        <v>70</v>
      </c>
      <c r="G555">
        <v>200</v>
      </c>
      <c r="I555" t="str">
        <f>VLOOKUP(G555,Kostenstellen!$A$1:$C$17,2,0)</f>
        <v>aqua</v>
      </c>
    </row>
    <row r="556" spans="1:9" x14ac:dyDescent="0.2">
      <c r="A556">
        <v>6220</v>
      </c>
      <c r="B556" s="7">
        <v>46022</v>
      </c>
      <c r="C556" t="s">
        <v>380</v>
      </c>
      <c r="D556">
        <v>122025</v>
      </c>
      <c r="E556">
        <v>70</v>
      </c>
      <c r="G556">
        <v>200</v>
      </c>
      <c r="I556" t="str">
        <f>VLOOKUP(G556,Kostenstellen!$A$1:$C$17,2,0)</f>
        <v>aqua</v>
      </c>
    </row>
    <row r="557" spans="1:9" x14ac:dyDescent="0.2">
      <c r="A557">
        <v>6280</v>
      </c>
      <c r="B557" s="7">
        <v>46022</v>
      </c>
      <c r="C557" t="s">
        <v>381</v>
      </c>
      <c r="D557" t="s">
        <v>382</v>
      </c>
      <c r="E557">
        <v>561.92999999999995</v>
      </c>
      <c r="G557">
        <v>200</v>
      </c>
      <c r="I557" t="str">
        <f>VLOOKUP(G557,Kostenstellen!$A$1:$C$17,2,0)</f>
        <v>aqua</v>
      </c>
    </row>
    <row r="558" spans="1:9" x14ac:dyDescent="0.2">
      <c r="A558">
        <v>6303</v>
      </c>
      <c r="B558" s="7">
        <v>45688</v>
      </c>
      <c r="C558" t="s">
        <v>383</v>
      </c>
      <c r="D558">
        <v>20255000001</v>
      </c>
      <c r="E558" s="6">
        <v>12400</v>
      </c>
      <c r="G558">
        <v>200</v>
      </c>
      <c r="I558" t="str">
        <f>VLOOKUP(G558,Kostenstellen!$A$1:$C$17,2,0)</f>
        <v>aqua</v>
      </c>
    </row>
    <row r="559" spans="1:9" x14ac:dyDescent="0.2">
      <c r="A559">
        <v>6303</v>
      </c>
      <c r="B559" s="7">
        <v>45716</v>
      </c>
      <c r="C559" t="s">
        <v>383</v>
      </c>
      <c r="D559">
        <v>20255000001</v>
      </c>
      <c r="E559" s="6">
        <v>12400</v>
      </c>
      <c r="G559">
        <v>200</v>
      </c>
      <c r="I559" t="str">
        <f>VLOOKUP(G559,Kostenstellen!$A$1:$C$17,2,0)</f>
        <v>aqua</v>
      </c>
    </row>
    <row r="560" spans="1:9" x14ac:dyDescent="0.2">
      <c r="A560">
        <v>6303</v>
      </c>
      <c r="B560" s="7">
        <v>45747</v>
      </c>
      <c r="C560" t="s">
        <v>383</v>
      </c>
      <c r="D560">
        <v>20255000001</v>
      </c>
      <c r="E560" s="6">
        <v>12400</v>
      </c>
      <c r="G560">
        <v>200</v>
      </c>
      <c r="I560" t="str">
        <f>VLOOKUP(G560,Kostenstellen!$A$1:$C$17,2,0)</f>
        <v>aqua</v>
      </c>
    </row>
    <row r="561" spans="1:9" x14ac:dyDescent="0.2">
      <c r="A561">
        <v>6303</v>
      </c>
      <c r="B561" s="7">
        <v>45777</v>
      </c>
      <c r="C561" t="s">
        <v>383</v>
      </c>
      <c r="D561">
        <v>20255000001</v>
      </c>
      <c r="E561" s="6">
        <v>12400</v>
      </c>
      <c r="G561">
        <v>200</v>
      </c>
      <c r="I561" t="str">
        <f>VLOOKUP(G561,Kostenstellen!$A$1:$C$17,2,0)</f>
        <v>aqua</v>
      </c>
    </row>
    <row r="562" spans="1:9" x14ac:dyDescent="0.2">
      <c r="A562">
        <v>6303</v>
      </c>
      <c r="B562" s="7">
        <v>45808</v>
      </c>
      <c r="C562" t="s">
        <v>383</v>
      </c>
      <c r="D562">
        <v>20255000001</v>
      </c>
      <c r="E562" s="6">
        <v>12400</v>
      </c>
      <c r="G562">
        <v>200</v>
      </c>
      <c r="I562" t="str">
        <f>VLOOKUP(G562,Kostenstellen!$A$1:$C$17,2,0)</f>
        <v>aqua</v>
      </c>
    </row>
    <row r="563" spans="1:9" x14ac:dyDescent="0.2">
      <c r="A563">
        <v>6303</v>
      </c>
      <c r="B563" s="7">
        <v>45838</v>
      </c>
      <c r="C563" t="s">
        <v>383</v>
      </c>
      <c r="D563">
        <v>20255000001</v>
      </c>
      <c r="E563" s="6">
        <v>12400</v>
      </c>
      <c r="G563">
        <v>200</v>
      </c>
      <c r="I563" t="str">
        <f>VLOOKUP(G563,Kostenstellen!$A$1:$C$17,2,0)</f>
        <v>aqua</v>
      </c>
    </row>
    <row r="564" spans="1:9" x14ac:dyDescent="0.2">
      <c r="A564">
        <v>6303</v>
      </c>
      <c r="B564" s="7">
        <v>45869</v>
      </c>
      <c r="C564" t="s">
        <v>383</v>
      </c>
      <c r="D564">
        <v>20255000001</v>
      </c>
      <c r="E564" s="6">
        <v>12400</v>
      </c>
      <c r="G564">
        <v>200</v>
      </c>
      <c r="I564" t="str">
        <f>VLOOKUP(G564,Kostenstellen!$A$1:$C$17,2,0)</f>
        <v>aqua</v>
      </c>
    </row>
    <row r="565" spans="1:9" x14ac:dyDescent="0.2">
      <c r="A565">
        <v>6303</v>
      </c>
      <c r="B565" s="7">
        <v>45900</v>
      </c>
      <c r="C565" t="s">
        <v>383</v>
      </c>
      <c r="D565">
        <v>20255000001</v>
      </c>
      <c r="E565" s="6">
        <v>12400</v>
      </c>
      <c r="G565">
        <v>200</v>
      </c>
      <c r="I565" t="str">
        <f>VLOOKUP(G565,Kostenstellen!$A$1:$C$17,2,0)</f>
        <v>aqua</v>
      </c>
    </row>
    <row r="566" spans="1:9" x14ac:dyDescent="0.2">
      <c r="A566">
        <v>6303</v>
      </c>
      <c r="B566" s="7">
        <v>45930</v>
      </c>
      <c r="C566" t="s">
        <v>383</v>
      </c>
      <c r="D566">
        <v>20255000001</v>
      </c>
      <c r="E566" s="6">
        <v>12400</v>
      </c>
      <c r="G566">
        <v>200</v>
      </c>
      <c r="I566" t="str">
        <f>VLOOKUP(G566,Kostenstellen!$A$1:$C$17,2,0)</f>
        <v>aqua</v>
      </c>
    </row>
    <row r="567" spans="1:9" x14ac:dyDescent="0.2">
      <c r="A567">
        <v>6303</v>
      </c>
      <c r="B567" s="7">
        <v>45961</v>
      </c>
      <c r="C567" t="s">
        <v>383</v>
      </c>
      <c r="D567">
        <v>20255000001</v>
      </c>
      <c r="E567" s="6">
        <v>12400</v>
      </c>
      <c r="G567">
        <v>200</v>
      </c>
      <c r="I567" t="str">
        <f>VLOOKUP(G567,Kostenstellen!$A$1:$C$17,2,0)</f>
        <v>aqua</v>
      </c>
    </row>
    <row r="568" spans="1:9" x14ac:dyDescent="0.2">
      <c r="A568">
        <v>6303</v>
      </c>
      <c r="B568" s="7">
        <v>45991</v>
      </c>
      <c r="C568" t="s">
        <v>383</v>
      </c>
      <c r="D568">
        <v>20255000001</v>
      </c>
      <c r="E568" s="6">
        <v>12400</v>
      </c>
      <c r="G568">
        <v>200</v>
      </c>
      <c r="I568" t="str">
        <f>VLOOKUP(G568,Kostenstellen!$A$1:$C$17,2,0)</f>
        <v>aqua</v>
      </c>
    </row>
    <row r="569" spans="1:9" x14ac:dyDescent="0.2">
      <c r="A569">
        <v>6303</v>
      </c>
      <c r="B569" s="7">
        <v>46022</v>
      </c>
      <c r="C569" t="s">
        <v>383</v>
      </c>
      <c r="D569">
        <v>20255000001</v>
      </c>
      <c r="E569" s="6">
        <v>12400</v>
      </c>
      <c r="G569">
        <v>200</v>
      </c>
      <c r="I569" t="str">
        <f>VLOOKUP(G569,Kostenstellen!$A$1:$C$17,2,0)</f>
        <v>aqua</v>
      </c>
    </row>
    <row r="570" spans="1:9" x14ac:dyDescent="0.2">
      <c r="A570">
        <v>6400</v>
      </c>
      <c r="B570" s="7">
        <v>45808</v>
      </c>
      <c r="C570" t="s">
        <v>384</v>
      </c>
      <c r="D570">
        <v>20255000001</v>
      </c>
      <c r="E570">
        <v>500</v>
      </c>
      <c r="G570">
        <v>200</v>
      </c>
      <c r="I570" t="str">
        <f>VLOOKUP(G570,Kostenstellen!$A$1:$C$17,2,0)</f>
        <v>aqua</v>
      </c>
    </row>
    <row r="571" spans="1:9" x14ac:dyDescent="0.2">
      <c r="A571">
        <v>6400</v>
      </c>
      <c r="B571" s="7">
        <v>45838</v>
      </c>
      <c r="C571" t="s">
        <v>384</v>
      </c>
      <c r="D571">
        <v>20255000001</v>
      </c>
      <c r="E571">
        <v>500</v>
      </c>
      <c r="G571">
        <v>200</v>
      </c>
      <c r="I571" t="str">
        <f>VLOOKUP(G571,Kostenstellen!$A$1:$C$17,2,0)</f>
        <v>aqua</v>
      </c>
    </row>
    <row r="572" spans="1:9" x14ac:dyDescent="0.2">
      <c r="A572">
        <v>6400</v>
      </c>
      <c r="B572" s="7">
        <v>45869</v>
      </c>
      <c r="C572" t="s">
        <v>384</v>
      </c>
      <c r="D572">
        <v>20255000001</v>
      </c>
      <c r="E572">
        <v>500</v>
      </c>
      <c r="G572">
        <v>200</v>
      </c>
      <c r="I572" t="str">
        <f>VLOOKUP(G572,Kostenstellen!$A$1:$C$17,2,0)</f>
        <v>aqua</v>
      </c>
    </row>
    <row r="573" spans="1:9" x14ac:dyDescent="0.2">
      <c r="A573">
        <v>6400</v>
      </c>
      <c r="B573" s="7">
        <v>45869</v>
      </c>
      <c r="C573" t="s">
        <v>385</v>
      </c>
      <c r="D573" t="s">
        <v>386</v>
      </c>
      <c r="E573">
        <v>9.9</v>
      </c>
      <c r="G573">
        <v>2001</v>
      </c>
      <c r="I573" t="str">
        <f>VLOOKUP(G573,Kostenstellen!$A$1:$C$17,2,0)</f>
        <v>Koch Martin</v>
      </c>
    </row>
    <row r="574" spans="1:9" x14ac:dyDescent="0.2">
      <c r="A574">
        <v>6400</v>
      </c>
      <c r="B574" s="7">
        <v>45900</v>
      </c>
      <c r="C574" t="s">
        <v>384</v>
      </c>
      <c r="D574">
        <v>20255000001</v>
      </c>
      <c r="E574">
        <v>500</v>
      </c>
      <c r="G574">
        <v>200</v>
      </c>
      <c r="I574" t="str">
        <f>VLOOKUP(G574,Kostenstellen!$A$1:$C$17,2,0)</f>
        <v>aqua</v>
      </c>
    </row>
    <row r="575" spans="1:9" x14ac:dyDescent="0.2">
      <c r="A575">
        <v>6400</v>
      </c>
      <c r="B575" s="7">
        <v>45900</v>
      </c>
      <c r="C575" t="s">
        <v>385</v>
      </c>
      <c r="D575" t="s">
        <v>386</v>
      </c>
      <c r="E575">
        <v>9.9</v>
      </c>
      <c r="G575">
        <v>2001</v>
      </c>
      <c r="I575" t="str">
        <f>VLOOKUP(G575,Kostenstellen!$A$1:$C$17,2,0)</f>
        <v>Koch Martin</v>
      </c>
    </row>
    <row r="576" spans="1:9" x14ac:dyDescent="0.2">
      <c r="A576">
        <v>6400</v>
      </c>
      <c r="B576" s="7">
        <v>45930</v>
      </c>
      <c r="C576" t="s">
        <v>384</v>
      </c>
      <c r="D576">
        <v>20255000001</v>
      </c>
      <c r="E576">
        <v>500</v>
      </c>
      <c r="G576">
        <v>200</v>
      </c>
      <c r="I576" t="str">
        <f>VLOOKUP(G576,Kostenstellen!$A$1:$C$17,2,0)</f>
        <v>aqua</v>
      </c>
    </row>
    <row r="577" spans="1:9" x14ac:dyDescent="0.2">
      <c r="A577">
        <v>6400</v>
      </c>
      <c r="B577" s="7">
        <v>45930</v>
      </c>
      <c r="C577" t="s">
        <v>385</v>
      </c>
      <c r="D577" t="s">
        <v>386</v>
      </c>
      <c r="E577">
        <v>9.9</v>
      </c>
      <c r="G577">
        <v>2001</v>
      </c>
      <c r="I577" t="str">
        <f>VLOOKUP(G577,Kostenstellen!$A$1:$C$17,2,0)</f>
        <v>Koch Martin</v>
      </c>
    </row>
    <row r="578" spans="1:9" x14ac:dyDescent="0.2">
      <c r="A578">
        <v>6400</v>
      </c>
      <c r="B578" s="7">
        <v>45961</v>
      </c>
      <c r="C578" t="s">
        <v>384</v>
      </c>
      <c r="D578">
        <v>20255000001</v>
      </c>
      <c r="E578">
        <v>500</v>
      </c>
      <c r="G578">
        <v>200</v>
      </c>
      <c r="I578" t="str">
        <f>VLOOKUP(G578,Kostenstellen!$A$1:$C$17,2,0)</f>
        <v>aqua</v>
      </c>
    </row>
    <row r="579" spans="1:9" x14ac:dyDescent="0.2">
      <c r="A579">
        <v>6400</v>
      </c>
      <c r="B579" s="7">
        <v>45961</v>
      </c>
      <c r="C579" t="s">
        <v>385</v>
      </c>
      <c r="D579" t="s">
        <v>386</v>
      </c>
      <c r="E579">
        <v>9.9</v>
      </c>
      <c r="G579">
        <v>2001</v>
      </c>
      <c r="I579" t="str">
        <f>VLOOKUP(G579,Kostenstellen!$A$1:$C$17,2,0)</f>
        <v>Koch Martin</v>
      </c>
    </row>
    <row r="580" spans="1:9" x14ac:dyDescent="0.2">
      <c r="A580">
        <v>6400</v>
      </c>
      <c r="B580" s="7">
        <v>45991</v>
      </c>
      <c r="C580" t="s">
        <v>384</v>
      </c>
      <c r="D580">
        <v>20255000001</v>
      </c>
      <c r="E580">
        <v>500</v>
      </c>
      <c r="G580">
        <v>200</v>
      </c>
      <c r="I580" t="str">
        <f>VLOOKUP(G580,Kostenstellen!$A$1:$C$17,2,0)</f>
        <v>aqua</v>
      </c>
    </row>
    <row r="581" spans="1:9" x14ac:dyDescent="0.2">
      <c r="A581">
        <v>6400</v>
      </c>
      <c r="B581" s="7">
        <v>45991</v>
      </c>
      <c r="C581" t="s">
        <v>385</v>
      </c>
      <c r="D581" t="s">
        <v>386</v>
      </c>
      <c r="E581">
        <v>9.9</v>
      </c>
      <c r="G581">
        <v>2001</v>
      </c>
      <c r="I581" t="str">
        <f>VLOOKUP(G581,Kostenstellen!$A$1:$C$17,2,0)</f>
        <v>Koch Martin</v>
      </c>
    </row>
    <row r="582" spans="1:9" x14ac:dyDescent="0.2">
      <c r="A582">
        <v>6400</v>
      </c>
      <c r="B582" s="7">
        <v>46022</v>
      </c>
      <c r="C582" t="s">
        <v>384</v>
      </c>
      <c r="D582">
        <v>20255000001</v>
      </c>
      <c r="E582">
        <v>500</v>
      </c>
      <c r="G582">
        <v>200</v>
      </c>
      <c r="I582" t="str">
        <f>VLOOKUP(G582,Kostenstellen!$A$1:$C$17,2,0)</f>
        <v>aqua</v>
      </c>
    </row>
    <row r="583" spans="1:9" x14ac:dyDescent="0.2">
      <c r="A583">
        <v>6400</v>
      </c>
      <c r="B583" s="7">
        <v>46022</v>
      </c>
      <c r="C583" t="s">
        <v>385</v>
      </c>
      <c r="D583" t="s">
        <v>386</v>
      </c>
      <c r="E583">
        <v>9.9</v>
      </c>
      <c r="G583">
        <v>2001</v>
      </c>
      <c r="I583" t="str">
        <f>VLOOKUP(G583,Kostenstellen!$A$1:$C$17,2,0)</f>
        <v>Koch Martin</v>
      </c>
    </row>
    <row r="584" spans="1:9" x14ac:dyDescent="0.2">
      <c r="A584">
        <v>6420</v>
      </c>
      <c r="B584" s="7">
        <v>45705</v>
      </c>
      <c r="C584" t="s">
        <v>387</v>
      </c>
      <c r="D584" t="s">
        <v>352</v>
      </c>
      <c r="E584">
        <v>18.36</v>
      </c>
      <c r="G584">
        <v>200</v>
      </c>
      <c r="I584" t="str">
        <f>VLOOKUP(G584,Kostenstellen!$A$1:$C$17,2,0)</f>
        <v>aqua</v>
      </c>
    </row>
    <row r="585" spans="1:9" x14ac:dyDescent="0.2">
      <c r="A585">
        <v>6420</v>
      </c>
      <c r="B585" s="7">
        <v>45786</v>
      </c>
      <c r="C585" t="s">
        <v>388</v>
      </c>
      <c r="D585">
        <v>950878588</v>
      </c>
      <c r="E585">
        <v>155</v>
      </c>
      <c r="G585">
        <v>200</v>
      </c>
      <c r="I585" t="str">
        <f>VLOOKUP(G585,Kostenstellen!$A$1:$C$17,2,0)</f>
        <v>aqua</v>
      </c>
    </row>
    <row r="586" spans="1:9" x14ac:dyDescent="0.2">
      <c r="A586">
        <v>6420</v>
      </c>
      <c r="B586" s="7">
        <v>45792</v>
      </c>
      <c r="C586" t="s">
        <v>387</v>
      </c>
      <c r="D586" t="s">
        <v>352</v>
      </c>
      <c r="E586">
        <v>18.36</v>
      </c>
      <c r="G586">
        <v>200</v>
      </c>
      <c r="I586" t="str">
        <f>VLOOKUP(G586,Kostenstellen!$A$1:$C$17,2,0)</f>
        <v>aqua</v>
      </c>
    </row>
    <row r="587" spans="1:9" x14ac:dyDescent="0.2">
      <c r="A587">
        <v>6420</v>
      </c>
      <c r="B587" s="7">
        <v>45797</v>
      </c>
      <c r="C587" t="s">
        <v>387</v>
      </c>
      <c r="D587" t="s">
        <v>352</v>
      </c>
      <c r="E587">
        <v>6.12</v>
      </c>
      <c r="G587">
        <v>200</v>
      </c>
      <c r="I587" t="str">
        <f>VLOOKUP(G587,Kostenstellen!$A$1:$C$17,2,0)</f>
        <v>aqua</v>
      </c>
    </row>
    <row r="588" spans="1:9" x14ac:dyDescent="0.2">
      <c r="A588">
        <v>6420</v>
      </c>
      <c r="B588" s="7">
        <v>45884</v>
      </c>
      <c r="C588" t="s">
        <v>387</v>
      </c>
      <c r="D588" t="s">
        <v>352</v>
      </c>
      <c r="E588">
        <v>18.36</v>
      </c>
      <c r="G588">
        <v>200</v>
      </c>
      <c r="I588" t="str">
        <f>VLOOKUP(G588,Kostenstellen!$A$1:$C$17,2,0)</f>
        <v>aqua</v>
      </c>
    </row>
    <row r="589" spans="1:9" x14ac:dyDescent="0.2">
      <c r="A589">
        <v>6420</v>
      </c>
      <c r="B589" s="7">
        <v>45954</v>
      </c>
      <c r="C589" t="s">
        <v>389</v>
      </c>
      <c r="D589" t="s">
        <v>390</v>
      </c>
      <c r="E589">
        <v>66</v>
      </c>
      <c r="G589">
        <v>230</v>
      </c>
      <c r="I589" t="str">
        <f>VLOOKUP(G589,Kostenstellen!$A$1:$C$17,2,0)</f>
        <v>Sales</v>
      </c>
    </row>
    <row r="590" spans="1:9" x14ac:dyDescent="0.2">
      <c r="A590">
        <v>6420</v>
      </c>
      <c r="B590" s="7">
        <v>45978</v>
      </c>
      <c r="C590" t="s">
        <v>391</v>
      </c>
      <c r="D590" t="s">
        <v>352</v>
      </c>
      <c r="E590">
        <v>18.36</v>
      </c>
      <c r="G590">
        <v>200</v>
      </c>
      <c r="I590" t="str">
        <f>VLOOKUP(G590,Kostenstellen!$A$1:$C$17,2,0)</f>
        <v>aqua</v>
      </c>
    </row>
    <row r="591" spans="1:9" x14ac:dyDescent="0.2">
      <c r="A591">
        <v>6421</v>
      </c>
      <c r="B591" s="7">
        <v>45663</v>
      </c>
      <c r="C591" t="s">
        <v>392</v>
      </c>
      <c r="D591" t="s">
        <v>393</v>
      </c>
      <c r="F591">
        <v>31.4</v>
      </c>
      <c r="G591">
        <v>202</v>
      </c>
      <c r="I591" t="str">
        <f>VLOOKUP(G591,Kostenstellen!$A$1:$C$17,2,0)</f>
        <v>Recruiting</v>
      </c>
    </row>
    <row r="592" spans="1:9" x14ac:dyDescent="0.2">
      <c r="A592">
        <v>6421</v>
      </c>
      <c r="B592" s="7">
        <v>45679</v>
      </c>
      <c r="C592" t="s">
        <v>394</v>
      </c>
      <c r="D592" t="s">
        <v>395</v>
      </c>
      <c r="E592">
        <v>165.66</v>
      </c>
      <c r="G592">
        <v>202</v>
      </c>
      <c r="I592" t="str">
        <f>VLOOKUP(G592,Kostenstellen!$A$1:$C$17,2,0)</f>
        <v>Recruiting</v>
      </c>
    </row>
    <row r="593" spans="1:9" x14ac:dyDescent="0.2">
      <c r="A593">
        <v>6421</v>
      </c>
      <c r="B593" s="7">
        <v>45694</v>
      </c>
      <c r="C593" t="s">
        <v>392</v>
      </c>
      <c r="D593" t="s">
        <v>396</v>
      </c>
      <c r="F593">
        <v>53.22</v>
      </c>
      <c r="G593">
        <v>202</v>
      </c>
      <c r="I593" t="str">
        <f>VLOOKUP(G593,Kostenstellen!$A$1:$C$17,2,0)</f>
        <v>Recruiting</v>
      </c>
    </row>
    <row r="594" spans="1:9" x14ac:dyDescent="0.2">
      <c r="A594">
        <v>6421</v>
      </c>
      <c r="B594" s="7">
        <v>45694</v>
      </c>
      <c r="C594" t="s">
        <v>397</v>
      </c>
      <c r="D594" t="s">
        <v>398</v>
      </c>
      <c r="E594" s="6">
        <v>1846.43</v>
      </c>
      <c r="G594">
        <v>202</v>
      </c>
      <c r="I594" t="str">
        <f>VLOOKUP(G594,Kostenstellen!$A$1:$C$17,2,0)</f>
        <v>Recruiting</v>
      </c>
    </row>
    <row r="595" spans="1:9" x14ac:dyDescent="0.2">
      <c r="A595">
        <v>6421</v>
      </c>
      <c r="B595" s="7">
        <v>45720</v>
      </c>
      <c r="C595" t="s">
        <v>399</v>
      </c>
      <c r="D595" t="s">
        <v>400</v>
      </c>
      <c r="E595">
        <v>24.67</v>
      </c>
      <c r="G595">
        <v>202</v>
      </c>
      <c r="I595" t="str">
        <f>VLOOKUP(G595,Kostenstellen!$A$1:$C$17,2,0)</f>
        <v>Recruiting</v>
      </c>
    </row>
    <row r="596" spans="1:9" x14ac:dyDescent="0.2">
      <c r="A596">
        <v>6421</v>
      </c>
      <c r="B596" s="7">
        <v>45722</v>
      </c>
      <c r="C596" t="s">
        <v>401</v>
      </c>
      <c r="D596" t="s">
        <v>402</v>
      </c>
      <c r="E596">
        <v>219.17</v>
      </c>
      <c r="G596">
        <v>202</v>
      </c>
      <c r="I596" t="str">
        <f>VLOOKUP(G596,Kostenstellen!$A$1:$C$17,2,0)</f>
        <v>Recruiting</v>
      </c>
    </row>
    <row r="597" spans="1:9" x14ac:dyDescent="0.2">
      <c r="A597">
        <v>6421</v>
      </c>
      <c r="B597" s="7">
        <v>45723</v>
      </c>
      <c r="C597" t="s">
        <v>399</v>
      </c>
      <c r="D597" t="s">
        <v>403</v>
      </c>
      <c r="E597">
        <v>48.5</v>
      </c>
      <c r="G597">
        <v>202</v>
      </c>
      <c r="I597" t="str">
        <f>VLOOKUP(G597,Kostenstellen!$A$1:$C$17,2,0)</f>
        <v>Recruiting</v>
      </c>
    </row>
    <row r="598" spans="1:9" x14ac:dyDescent="0.2">
      <c r="A598">
        <v>6421</v>
      </c>
      <c r="B598" s="7">
        <v>45733</v>
      </c>
      <c r="C598" t="s">
        <v>404</v>
      </c>
      <c r="D598">
        <v>10934566184</v>
      </c>
      <c r="E598">
        <v>80</v>
      </c>
      <c r="G598">
        <v>202</v>
      </c>
      <c r="I598" t="str">
        <f>VLOOKUP(G598,Kostenstellen!$A$1:$C$17,2,0)</f>
        <v>Recruiting</v>
      </c>
    </row>
    <row r="599" spans="1:9" x14ac:dyDescent="0.2">
      <c r="A599">
        <v>6421</v>
      </c>
      <c r="B599" s="7">
        <v>45751</v>
      </c>
      <c r="C599" t="s">
        <v>399</v>
      </c>
      <c r="D599" t="s">
        <v>405</v>
      </c>
      <c r="E599">
        <v>23.67</v>
      </c>
      <c r="G599">
        <v>202</v>
      </c>
      <c r="I599" t="str">
        <f>VLOOKUP(G599,Kostenstellen!$A$1:$C$17,2,0)</f>
        <v>Recruiting</v>
      </c>
    </row>
    <row r="600" spans="1:9" x14ac:dyDescent="0.2">
      <c r="A600">
        <v>6421</v>
      </c>
      <c r="B600" s="7">
        <v>45779</v>
      </c>
      <c r="C600" t="s">
        <v>399</v>
      </c>
      <c r="D600" t="s">
        <v>406</v>
      </c>
      <c r="E600">
        <v>22.42</v>
      </c>
      <c r="G600">
        <v>202</v>
      </c>
      <c r="I600" t="str">
        <f>VLOOKUP(G600,Kostenstellen!$A$1:$C$17,2,0)</f>
        <v>Recruiting</v>
      </c>
    </row>
    <row r="601" spans="1:9" x14ac:dyDescent="0.2">
      <c r="A601">
        <v>6421</v>
      </c>
      <c r="B601" s="7">
        <v>45798</v>
      </c>
      <c r="C601" t="s">
        <v>399</v>
      </c>
      <c r="D601" t="s">
        <v>407</v>
      </c>
      <c r="E601">
        <v>22.82</v>
      </c>
      <c r="G601">
        <v>202</v>
      </c>
      <c r="I601" t="str">
        <f>VLOOKUP(G601,Kostenstellen!$A$1:$C$17,2,0)</f>
        <v>Recruiting</v>
      </c>
    </row>
    <row r="602" spans="1:9" x14ac:dyDescent="0.2">
      <c r="A602">
        <v>6421</v>
      </c>
      <c r="B602" s="7">
        <v>45800</v>
      </c>
      <c r="C602" t="s">
        <v>399</v>
      </c>
      <c r="D602" t="s">
        <v>408</v>
      </c>
      <c r="E602">
        <v>45.42</v>
      </c>
      <c r="G602">
        <v>202</v>
      </c>
      <c r="I602" t="str">
        <f>VLOOKUP(G602,Kostenstellen!$A$1:$C$17,2,0)</f>
        <v>Recruiting</v>
      </c>
    </row>
    <row r="603" spans="1:9" x14ac:dyDescent="0.2">
      <c r="A603">
        <v>6421</v>
      </c>
      <c r="B603" s="7">
        <v>45825</v>
      </c>
      <c r="C603" t="s">
        <v>399</v>
      </c>
      <c r="D603" t="s">
        <v>409</v>
      </c>
      <c r="E603">
        <v>22.23</v>
      </c>
      <c r="G603">
        <v>202</v>
      </c>
      <c r="I603" t="str">
        <f>VLOOKUP(G603,Kostenstellen!$A$1:$C$17,2,0)</f>
        <v>Recruiting</v>
      </c>
    </row>
    <row r="604" spans="1:9" x14ac:dyDescent="0.2">
      <c r="A604">
        <v>6421</v>
      </c>
      <c r="B604" s="7">
        <v>45905</v>
      </c>
      <c r="C604" t="s">
        <v>399</v>
      </c>
      <c r="D604" t="s">
        <v>410</v>
      </c>
      <c r="E604">
        <v>43.09</v>
      </c>
      <c r="G604">
        <v>202</v>
      </c>
      <c r="I604" t="str">
        <f>VLOOKUP(G604,Kostenstellen!$A$1:$C$17,2,0)</f>
        <v>Recruiting</v>
      </c>
    </row>
    <row r="605" spans="1:9" x14ac:dyDescent="0.2">
      <c r="A605">
        <v>6421</v>
      </c>
      <c r="B605" s="7">
        <v>45924</v>
      </c>
      <c r="C605" t="s">
        <v>399</v>
      </c>
      <c r="D605" t="s">
        <v>411</v>
      </c>
      <c r="E605">
        <v>63.99</v>
      </c>
      <c r="G605">
        <v>202</v>
      </c>
      <c r="I605" t="str">
        <f>VLOOKUP(G605,Kostenstellen!$A$1:$C$17,2,0)</f>
        <v>Recruiting</v>
      </c>
    </row>
    <row r="606" spans="1:9" x14ac:dyDescent="0.2">
      <c r="A606">
        <v>6421</v>
      </c>
      <c r="B606" s="7">
        <v>45951</v>
      </c>
      <c r="C606" t="s">
        <v>399</v>
      </c>
      <c r="D606" t="s">
        <v>412</v>
      </c>
      <c r="E606">
        <v>21.9</v>
      </c>
      <c r="G606">
        <v>202</v>
      </c>
      <c r="I606" t="str">
        <f>VLOOKUP(G606,Kostenstellen!$A$1:$C$17,2,0)</f>
        <v>Recruiting</v>
      </c>
    </row>
    <row r="607" spans="1:9" x14ac:dyDescent="0.2">
      <c r="A607">
        <v>6421</v>
      </c>
      <c r="B607" s="7">
        <v>45981</v>
      </c>
      <c r="C607" t="s">
        <v>413</v>
      </c>
      <c r="D607" t="s">
        <v>414</v>
      </c>
      <c r="E607">
        <v>211.56</v>
      </c>
      <c r="G607">
        <v>202</v>
      </c>
      <c r="H607" s="7">
        <v>45980</v>
      </c>
      <c r="I607" t="str">
        <f>VLOOKUP(G607,Kostenstellen!$A$1:$C$17,2,0)</f>
        <v>Recruiting</v>
      </c>
    </row>
    <row r="608" spans="1:9" x14ac:dyDescent="0.2">
      <c r="A608">
        <v>6423</v>
      </c>
      <c r="B608" s="7">
        <v>45953</v>
      </c>
      <c r="C608" t="s">
        <v>415</v>
      </c>
      <c r="D608" t="s">
        <v>416</v>
      </c>
      <c r="E608" s="6">
        <v>1800</v>
      </c>
      <c r="G608">
        <v>235</v>
      </c>
      <c r="I608" t="str">
        <f>VLOOKUP(G608,Kostenstellen!$A$1:$C$17,2,0)</f>
        <v>Marketing</v>
      </c>
    </row>
    <row r="609" spans="1:9" x14ac:dyDescent="0.2">
      <c r="A609">
        <v>6425</v>
      </c>
      <c r="B609" s="7">
        <v>45658</v>
      </c>
      <c r="C609" t="s">
        <v>417</v>
      </c>
      <c r="D609" t="s">
        <v>352</v>
      </c>
      <c r="E609">
        <v>31.74</v>
      </c>
      <c r="G609">
        <v>200</v>
      </c>
      <c r="I609" t="str">
        <f>VLOOKUP(G609,Kostenstellen!$A$1:$C$17,2,0)</f>
        <v>aqua</v>
      </c>
    </row>
    <row r="610" spans="1:9" x14ac:dyDescent="0.2">
      <c r="A610">
        <v>6425</v>
      </c>
      <c r="B610" s="7">
        <v>45659</v>
      </c>
      <c r="C610" t="s">
        <v>418</v>
      </c>
      <c r="D610" t="s">
        <v>419</v>
      </c>
      <c r="E610">
        <v>19.72</v>
      </c>
      <c r="G610">
        <v>220</v>
      </c>
      <c r="I610" t="str">
        <f>VLOOKUP(G610,Kostenstellen!$A$1:$C$17,2,0)</f>
        <v>Product</v>
      </c>
    </row>
    <row r="611" spans="1:9" x14ac:dyDescent="0.2">
      <c r="A611">
        <v>6425</v>
      </c>
      <c r="B611" s="7">
        <v>45659</v>
      </c>
      <c r="C611" t="s">
        <v>420</v>
      </c>
      <c r="D611" t="s">
        <v>421</v>
      </c>
      <c r="E611">
        <v>39.43</v>
      </c>
      <c r="G611">
        <v>210</v>
      </c>
      <c r="I611" t="str">
        <f>VLOOKUP(G611,Kostenstellen!$A$1:$C$17,2,0)</f>
        <v>Dev</v>
      </c>
    </row>
    <row r="612" spans="1:9" x14ac:dyDescent="0.2">
      <c r="A612">
        <v>6425</v>
      </c>
      <c r="B612" s="7">
        <v>45660</v>
      </c>
      <c r="C612" t="s">
        <v>422</v>
      </c>
      <c r="D612">
        <v>99111</v>
      </c>
      <c r="E612">
        <v>150</v>
      </c>
      <c r="G612">
        <v>200</v>
      </c>
      <c r="I612" t="str">
        <f>VLOOKUP(G612,Kostenstellen!$A$1:$C$17,2,0)</f>
        <v>aqua</v>
      </c>
    </row>
    <row r="613" spans="1:9" x14ac:dyDescent="0.2">
      <c r="A613">
        <v>6425</v>
      </c>
      <c r="B613" s="7">
        <v>45660</v>
      </c>
      <c r="C613" t="s">
        <v>423</v>
      </c>
      <c r="D613" t="s">
        <v>424</v>
      </c>
      <c r="E613">
        <v>19.72</v>
      </c>
      <c r="G613">
        <v>220</v>
      </c>
      <c r="I613" t="str">
        <f>VLOOKUP(G613,Kostenstellen!$A$1:$C$17,2,0)</f>
        <v>Product</v>
      </c>
    </row>
    <row r="614" spans="1:9" x14ac:dyDescent="0.2">
      <c r="A614">
        <v>6425</v>
      </c>
      <c r="B614" s="7">
        <v>45663</v>
      </c>
      <c r="C614" t="s">
        <v>425</v>
      </c>
      <c r="D614">
        <v>140121</v>
      </c>
      <c r="E614">
        <v>24.84</v>
      </c>
      <c r="G614">
        <v>210</v>
      </c>
      <c r="I614" t="str">
        <f>VLOOKUP(G614,Kostenstellen!$A$1:$C$17,2,0)</f>
        <v>Dev</v>
      </c>
    </row>
    <row r="615" spans="1:9" x14ac:dyDescent="0.2">
      <c r="A615">
        <v>6425</v>
      </c>
      <c r="B615" s="7">
        <v>45663</v>
      </c>
      <c r="C615" t="s">
        <v>426</v>
      </c>
      <c r="D615" t="s">
        <v>427</v>
      </c>
      <c r="E615">
        <v>19.91</v>
      </c>
      <c r="G615">
        <v>220</v>
      </c>
      <c r="I615" t="str">
        <f>VLOOKUP(G615,Kostenstellen!$A$1:$C$17,2,0)</f>
        <v>Product</v>
      </c>
    </row>
    <row r="616" spans="1:9" x14ac:dyDescent="0.2">
      <c r="A616">
        <v>6425</v>
      </c>
      <c r="B616" s="7">
        <v>45663</v>
      </c>
      <c r="C616" t="s">
        <v>428</v>
      </c>
      <c r="D616" t="s">
        <v>429</v>
      </c>
      <c r="E616">
        <v>78.83</v>
      </c>
      <c r="G616">
        <v>235</v>
      </c>
      <c r="I616" t="str">
        <f>VLOOKUP(G616,Kostenstellen!$A$1:$C$17,2,0)</f>
        <v>Marketing</v>
      </c>
    </row>
    <row r="617" spans="1:9" x14ac:dyDescent="0.2">
      <c r="A617">
        <v>6425</v>
      </c>
      <c r="B617" s="7">
        <v>45663</v>
      </c>
      <c r="C617" t="s">
        <v>430</v>
      </c>
      <c r="D617" t="s">
        <v>431</v>
      </c>
      <c r="E617">
        <v>19.95</v>
      </c>
      <c r="G617">
        <v>210</v>
      </c>
      <c r="I617" t="str">
        <f>VLOOKUP(G617,Kostenstellen!$A$1:$C$17,2,0)</f>
        <v>Dev</v>
      </c>
    </row>
    <row r="618" spans="1:9" x14ac:dyDescent="0.2">
      <c r="A618">
        <v>6425</v>
      </c>
      <c r="B618" s="7">
        <v>45663</v>
      </c>
      <c r="C618" t="s">
        <v>432</v>
      </c>
      <c r="D618" t="s">
        <v>433</v>
      </c>
      <c r="E618">
        <v>265</v>
      </c>
      <c r="G618">
        <v>210</v>
      </c>
      <c r="I618" t="str">
        <f>VLOOKUP(G618,Kostenstellen!$A$1:$C$17,2,0)</f>
        <v>Dev</v>
      </c>
    </row>
    <row r="619" spans="1:9" x14ac:dyDescent="0.2">
      <c r="A619">
        <v>6425</v>
      </c>
      <c r="B619" s="7">
        <v>45663</v>
      </c>
      <c r="C619" t="s">
        <v>434</v>
      </c>
      <c r="D619" t="s">
        <v>435</v>
      </c>
      <c r="E619">
        <v>128.41</v>
      </c>
      <c r="G619">
        <v>220</v>
      </c>
      <c r="I619" t="str">
        <f>VLOOKUP(G619,Kostenstellen!$A$1:$C$17,2,0)</f>
        <v>Product</v>
      </c>
    </row>
    <row r="620" spans="1:9" x14ac:dyDescent="0.2">
      <c r="A620">
        <v>6425</v>
      </c>
      <c r="B620" s="7">
        <v>45664</v>
      </c>
      <c r="C620" t="s">
        <v>436</v>
      </c>
      <c r="D620" t="s">
        <v>437</v>
      </c>
      <c r="E620">
        <v>79.63</v>
      </c>
      <c r="G620">
        <v>220</v>
      </c>
      <c r="I620" t="str">
        <f>VLOOKUP(G620,Kostenstellen!$A$1:$C$17,2,0)</f>
        <v>Product</v>
      </c>
    </row>
    <row r="621" spans="1:9" x14ac:dyDescent="0.2">
      <c r="A621">
        <v>6425</v>
      </c>
      <c r="B621" s="7">
        <v>45664</v>
      </c>
      <c r="C621" t="s">
        <v>438</v>
      </c>
      <c r="D621" t="s">
        <v>439</v>
      </c>
      <c r="E621">
        <v>53.55</v>
      </c>
      <c r="G621">
        <v>235</v>
      </c>
      <c r="I621" t="str">
        <f>VLOOKUP(G621,Kostenstellen!$A$1:$C$17,2,0)</f>
        <v>Marketing</v>
      </c>
    </row>
    <row r="622" spans="1:9" x14ac:dyDescent="0.2">
      <c r="A622">
        <v>6425</v>
      </c>
      <c r="B622" s="7">
        <v>45666</v>
      </c>
      <c r="C622" t="s">
        <v>440</v>
      </c>
      <c r="D622">
        <v>3055309</v>
      </c>
      <c r="E622">
        <v>12.76</v>
      </c>
      <c r="G622">
        <v>235</v>
      </c>
      <c r="I622" t="str">
        <f>VLOOKUP(G622,Kostenstellen!$A$1:$C$17,2,0)</f>
        <v>Marketing</v>
      </c>
    </row>
    <row r="623" spans="1:9" x14ac:dyDescent="0.2">
      <c r="A623">
        <v>6425</v>
      </c>
      <c r="B623" s="7">
        <v>45667</v>
      </c>
      <c r="C623" t="s">
        <v>441</v>
      </c>
      <c r="D623">
        <v>17362398680111</v>
      </c>
      <c r="E623">
        <v>231.06</v>
      </c>
      <c r="G623">
        <v>202</v>
      </c>
      <c r="I623" t="str">
        <f>VLOOKUP(G623,Kostenstellen!$A$1:$C$17,2,0)</f>
        <v>Recruiting</v>
      </c>
    </row>
    <row r="624" spans="1:9" x14ac:dyDescent="0.2">
      <c r="A624">
        <v>6425</v>
      </c>
      <c r="B624" s="7">
        <v>45671</v>
      </c>
      <c r="C624" t="s">
        <v>442</v>
      </c>
      <c r="D624" t="s">
        <v>443</v>
      </c>
      <c r="E624">
        <v>2.0699999999999998</v>
      </c>
      <c r="G624">
        <v>210</v>
      </c>
      <c r="I624" t="str">
        <f>VLOOKUP(G624,Kostenstellen!$A$1:$C$17,2,0)</f>
        <v>Dev</v>
      </c>
    </row>
    <row r="625" spans="1:9" x14ac:dyDescent="0.2">
      <c r="A625">
        <v>6425</v>
      </c>
      <c r="B625" s="7">
        <v>45671</v>
      </c>
      <c r="C625" t="s">
        <v>444</v>
      </c>
      <c r="D625" t="s">
        <v>445</v>
      </c>
      <c r="E625">
        <v>29.96</v>
      </c>
      <c r="G625">
        <v>235</v>
      </c>
      <c r="I625" t="str">
        <f>VLOOKUP(G625,Kostenstellen!$A$1:$C$17,2,0)</f>
        <v>Marketing</v>
      </c>
    </row>
    <row r="626" spans="1:9" x14ac:dyDescent="0.2">
      <c r="A626">
        <v>6425</v>
      </c>
      <c r="B626" s="7">
        <v>45673</v>
      </c>
      <c r="C626" t="s">
        <v>446</v>
      </c>
      <c r="D626" t="s">
        <v>447</v>
      </c>
      <c r="E626">
        <v>35.78</v>
      </c>
      <c r="G626">
        <v>210</v>
      </c>
      <c r="I626" t="str">
        <f>VLOOKUP(G626,Kostenstellen!$A$1:$C$17,2,0)</f>
        <v>Dev</v>
      </c>
    </row>
    <row r="627" spans="1:9" x14ac:dyDescent="0.2">
      <c r="A627">
        <v>6425</v>
      </c>
      <c r="B627" s="7">
        <v>45674</v>
      </c>
      <c r="C627" t="s">
        <v>448</v>
      </c>
      <c r="D627">
        <v>78162905578</v>
      </c>
      <c r="E627">
        <v>82.64</v>
      </c>
      <c r="G627">
        <v>202</v>
      </c>
      <c r="I627" t="str">
        <f>VLOOKUP(G627,Kostenstellen!$A$1:$C$17,2,0)</f>
        <v>Recruiting</v>
      </c>
    </row>
    <row r="628" spans="1:9" x14ac:dyDescent="0.2">
      <c r="A628">
        <v>6425</v>
      </c>
      <c r="B628" s="7">
        <v>45677</v>
      </c>
      <c r="C628" t="s">
        <v>449</v>
      </c>
      <c r="D628" s="8">
        <v>8.9149480000000002E-13</v>
      </c>
      <c r="E628">
        <v>15.9</v>
      </c>
      <c r="G628">
        <v>220</v>
      </c>
      <c r="I628" t="str">
        <f>VLOOKUP(G628,Kostenstellen!$A$1:$C$17,2,0)</f>
        <v>Product</v>
      </c>
    </row>
    <row r="629" spans="1:9" x14ac:dyDescent="0.2">
      <c r="A629">
        <v>6425</v>
      </c>
      <c r="B629" s="7">
        <v>45678</v>
      </c>
      <c r="C629" t="s">
        <v>430</v>
      </c>
      <c r="D629" t="s">
        <v>450</v>
      </c>
      <c r="E629">
        <v>19.88</v>
      </c>
      <c r="G629">
        <v>235</v>
      </c>
      <c r="I629" t="str">
        <f>VLOOKUP(G629,Kostenstellen!$A$1:$C$17,2,0)</f>
        <v>Marketing</v>
      </c>
    </row>
    <row r="630" spans="1:9" x14ac:dyDescent="0.2">
      <c r="A630">
        <v>6425</v>
      </c>
      <c r="B630" s="7">
        <v>45681</v>
      </c>
      <c r="C630" t="s">
        <v>423</v>
      </c>
      <c r="D630" t="s">
        <v>451</v>
      </c>
      <c r="E630">
        <v>19.64</v>
      </c>
      <c r="G630">
        <v>220</v>
      </c>
      <c r="I630" t="str">
        <f>VLOOKUP(G630,Kostenstellen!$A$1:$C$17,2,0)</f>
        <v>Product</v>
      </c>
    </row>
    <row r="631" spans="1:9" x14ac:dyDescent="0.2">
      <c r="A631">
        <v>6425</v>
      </c>
      <c r="B631" s="7">
        <v>45681</v>
      </c>
      <c r="C631" t="s">
        <v>452</v>
      </c>
      <c r="D631" t="s">
        <v>453</v>
      </c>
      <c r="E631">
        <v>18</v>
      </c>
      <c r="G631">
        <v>220</v>
      </c>
      <c r="I631" t="str">
        <f>VLOOKUP(G631,Kostenstellen!$A$1:$C$17,2,0)</f>
        <v>Product</v>
      </c>
    </row>
    <row r="632" spans="1:9" x14ac:dyDescent="0.2">
      <c r="A632">
        <v>6425</v>
      </c>
      <c r="B632" s="7">
        <v>45684</v>
      </c>
      <c r="C632" t="s">
        <v>454</v>
      </c>
      <c r="D632" t="s">
        <v>455</v>
      </c>
      <c r="E632">
        <v>97.98</v>
      </c>
      <c r="G632">
        <v>210</v>
      </c>
      <c r="I632" t="str">
        <f>VLOOKUP(G632,Kostenstellen!$A$1:$C$17,2,0)</f>
        <v>Dev</v>
      </c>
    </row>
    <row r="633" spans="1:9" x14ac:dyDescent="0.2">
      <c r="A633">
        <v>6425</v>
      </c>
      <c r="B633" s="7">
        <v>45684</v>
      </c>
      <c r="C633" t="s">
        <v>456</v>
      </c>
      <c r="D633" s="8" t="s">
        <v>457</v>
      </c>
      <c r="E633">
        <v>71.040000000000006</v>
      </c>
      <c r="G633">
        <v>210</v>
      </c>
      <c r="I633" t="str">
        <f>VLOOKUP(G633,Kostenstellen!$A$1:$C$17,2,0)</f>
        <v>Dev</v>
      </c>
    </row>
    <row r="634" spans="1:9" x14ac:dyDescent="0.2">
      <c r="A634">
        <v>6425</v>
      </c>
      <c r="B634" s="7">
        <v>45685</v>
      </c>
      <c r="C634" t="s">
        <v>442</v>
      </c>
      <c r="D634">
        <v>74182744</v>
      </c>
      <c r="E634">
        <v>9.8000000000000007</v>
      </c>
      <c r="G634">
        <v>210</v>
      </c>
      <c r="I634" t="str">
        <f>VLOOKUP(G634,Kostenstellen!$A$1:$C$17,2,0)</f>
        <v>Dev</v>
      </c>
    </row>
    <row r="635" spans="1:9" x14ac:dyDescent="0.2">
      <c r="A635">
        <v>6425</v>
      </c>
      <c r="B635" s="7">
        <v>45685</v>
      </c>
      <c r="C635" t="s">
        <v>458</v>
      </c>
      <c r="D635" t="s">
        <v>459</v>
      </c>
      <c r="E635">
        <v>855</v>
      </c>
      <c r="G635">
        <v>200</v>
      </c>
      <c r="I635" t="str">
        <f>VLOOKUP(G635,Kostenstellen!$A$1:$C$17,2,0)</f>
        <v>aqua</v>
      </c>
    </row>
    <row r="636" spans="1:9" x14ac:dyDescent="0.2">
      <c r="A636">
        <v>6425</v>
      </c>
      <c r="B636" s="7">
        <v>45686</v>
      </c>
      <c r="C636" t="s">
        <v>438</v>
      </c>
      <c r="D636" t="s">
        <v>460</v>
      </c>
      <c r="E636">
        <v>53.67</v>
      </c>
      <c r="G636">
        <v>220</v>
      </c>
      <c r="I636" t="str">
        <f>VLOOKUP(G636,Kostenstellen!$A$1:$C$17,2,0)</f>
        <v>Product</v>
      </c>
    </row>
    <row r="637" spans="1:9" x14ac:dyDescent="0.2">
      <c r="A637">
        <v>6425</v>
      </c>
      <c r="B637" s="7">
        <v>45687</v>
      </c>
      <c r="C637" t="s">
        <v>461</v>
      </c>
      <c r="D637" t="s">
        <v>462</v>
      </c>
      <c r="E637">
        <v>107.91</v>
      </c>
      <c r="G637">
        <v>210</v>
      </c>
      <c r="I637" t="str">
        <f>VLOOKUP(G637,Kostenstellen!$A$1:$C$17,2,0)</f>
        <v>Dev</v>
      </c>
    </row>
    <row r="638" spans="1:9" x14ac:dyDescent="0.2">
      <c r="A638">
        <v>6425</v>
      </c>
      <c r="B638" s="7">
        <v>45687</v>
      </c>
      <c r="C638" t="s">
        <v>442</v>
      </c>
      <c r="D638" t="s">
        <v>463</v>
      </c>
      <c r="E638">
        <v>495.51</v>
      </c>
      <c r="G638">
        <v>210</v>
      </c>
      <c r="I638" t="str">
        <f>VLOOKUP(G638,Kostenstellen!$A$1:$C$17,2,0)</f>
        <v>Dev</v>
      </c>
    </row>
    <row r="639" spans="1:9" x14ac:dyDescent="0.2">
      <c r="A639">
        <v>6425</v>
      </c>
      <c r="B639" s="7">
        <v>45688</v>
      </c>
      <c r="C639" t="s">
        <v>464</v>
      </c>
      <c r="D639" t="s">
        <v>352</v>
      </c>
      <c r="E639">
        <v>111.83</v>
      </c>
      <c r="G639">
        <v>230</v>
      </c>
      <c r="I639" t="str">
        <f>VLOOKUP(G639,Kostenstellen!$A$1:$C$17,2,0)</f>
        <v>Sales</v>
      </c>
    </row>
    <row r="640" spans="1:9" x14ac:dyDescent="0.2">
      <c r="A640">
        <v>6425</v>
      </c>
      <c r="B640" s="7">
        <v>45688</v>
      </c>
      <c r="C640" t="s">
        <v>465</v>
      </c>
      <c r="D640">
        <v>20255000001</v>
      </c>
      <c r="E640">
        <v>800</v>
      </c>
      <c r="G640">
        <v>200</v>
      </c>
      <c r="I640" t="str">
        <f>VLOOKUP(G640,Kostenstellen!$A$1:$C$17,2,0)</f>
        <v>aqua</v>
      </c>
    </row>
    <row r="641" spans="1:9" x14ac:dyDescent="0.2">
      <c r="A641">
        <v>6425</v>
      </c>
      <c r="B641" s="7">
        <v>45688</v>
      </c>
      <c r="C641" t="s">
        <v>384</v>
      </c>
      <c r="D641">
        <v>20255000001</v>
      </c>
      <c r="E641">
        <v>500</v>
      </c>
      <c r="G641">
        <v>200</v>
      </c>
      <c r="I641" t="str">
        <f>VLOOKUP(G641,Kostenstellen!$A$1:$C$17,2,0)</f>
        <v>aqua</v>
      </c>
    </row>
    <row r="642" spans="1:9" x14ac:dyDescent="0.2">
      <c r="A642">
        <v>6425</v>
      </c>
      <c r="B642" s="7">
        <v>45688</v>
      </c>
      <c r="C642" t="s">
        <v>466</v>
      </c>
      <c r="D642" t="s">
        <v>467</v>
      </c>
      <c r="E642">
        <v>16.809999999999999</v>
      </c>
      <c r="G642">
        <v>210</v>
      </c>
      <c r="I642" t="str">
        <f>VLOOKUP(G642,Kostenstellen!$A$1:$C$17,2,0)</f>
        <v>Dev</v>
      </c>
    </row>
    <row r="643" spans="1:9" x14ac:dyDescent="0.2">
      <c r="A643">
        <v>6425</v>
      </c>
      <c r="B643" s="7">
        <v>45688</v>
      </c>
      <c r="C643" t="s">
        <v>468</v>
      </c>
      <c r="D643" t="s">
        <v>469</v>
      </c>
      <c r="E643">
        <v>135</v>
      </c>
      <c r="G643">
        <v>210</v>
      </c>
      <c r="I643" t="str">
        <f>VLOOKUP(G643,Kostenstellen!$A$1:$C$17,2,0)</f>
        <v>Dev</v>
      </c>
    </row>
    <row r="644" spans="1:9" x14ac:dyDescent="0.2">
      <c r="A644">
        <v>6425</v>
      </c>
      <c r="B644" s="7">
        <v>45691</v>
      </c>
      <c r="C644" t="s">
        <v>470</v>
      </c>
      <c r="D644" t="s">
        <v>471</v>
      </c>
      <c r="E644">
        <v>265</v>
      </c>
      <c r="G644">
        <v>210</v>
      </c>
      <c r="I644" t="str">
        <f>VLOOKUP(G644,Kostenstellen!$A$1:$C$17,2,0)</f>
        <v>Dev</v>
      </c>
    </row>
    <row r="645" spans="1:9" x14ac:dyDescent="0.2">
      <c r="A645">
        <v>6425</v>
      </c>
      <c r="B645" s="7">
        <v>45691</v>
      </c>
      <c r="C645" t="s">
        <v>418</v>
      </c>
      <c r="D645" t="s">
        <v>472</v>
      </c>
      <c r="E645">
        <v>19.7</v>
      </c>
      <c r="G645">
        <v>220</v>
      </c>
      <c r="I645" t="str">
        <f>VLOOKUP(G645,Kostenstellen!$A$1:$C$17,2,0)</f>
        <v>Product</v>
      </c>
    </row>
    <row r="646" spans="1:9" x14ac:dyDescent="0.2">
      <c r="A646">
        <v>6425</v>
      </c>
      <c r="B646" s="7">
        <v>45691</v>
      </c>
      <c r="C646" t="s">
        <v>420</v>
      </c>
      <c r="D646" t="s">
        <v>473</v>
      </c>
      <c r="E646">
        <v>79.760000000000005</v>
      </c>
      <c r="G646">
        <v>210</v>
      </c>
      <c r="I646" t="str">
        <f>VLOOKUP(G646,Kostenstellen!$A$1:$C$17,2,0)</f>
        <v>Dev</v>
      </c>
    </row>
    <row r="647" spans="1:9" x14ac:dyDescent="0.2">
      <c r="A647">
        <v>6425</v>
      </c>
      <c r="B647" s="7">
        <v>45692</v>
      </c>
      <c r="C647" t="s">
        <v>422</v>
      </c>
      <c r="D647">
        <v>103616</v>
      </c>
      <c r="E647">
        <v>150</v>
      </c>
      <c r="G647">
        <v>200</v>
      </c>
      <c r="I647" t="str">
        <f>VLOOKUP(G647,Kostenstellen!$A$1:$C$17,2,0)</f>
        <v>aqua</v>
      </c>
    </row>
    <row r="648" spans="1:9" x14ac:dyDescent="0.2">
      <c r="A648">
        <v>6425</v>
      </c>
      <c r="B648" s="7">
        <v>45692</v>
      </c>
      <c r="C648" t="s">
        <v>425</v>
      </c>
      <c r="D648" t="s">
        <v>474</v>
      </c>
      <c r="E648">
        <v>24.93</v>
      </c>
      <c r="G648">
        <v>210</v>
      </c>
      <c r="I648" t="str">
        <f>VLOOKUP(G648,Kostenstellen!$A$1:$C$17,2,0)</f>
        <v>Dev</v>
      </c>
    </row>
    <row r="649" spans="1:9" x14ac:dyDescent="0.2">
      <c r="A649">
        <v>6425</v>
      </c>
      <c r="B649" s="7">
        <v>45692</v>
      </c>
      <c r="C649" t="s">
        <v>426</v>
      </c>
      <c r="D649" t="s">
        <v>475</v>
      </c>
      <c r="E649">
        <v>19.98</v>
      </c>
      <c r="G649">
        <v>220</v>
      </c>
      <c r="I649" t="str">
        <f>VLOOKUP(G649,Kostenstellen!$A$1:$C$17,2,0)</f>
        <v>Product</v>
      </c>
    </row>
    <row r="650" spans="1:9" x14ac:dyDescent="0.2">
      <c r="A650">
        <v>6425</v>
      </c>
      <c r="B650" s="7">
        <v>45692</v>
      </c>
      <c r="C650" t="s">
        <v>428</v>
      </c>
      <c r="D650" t="s">
        <v>476</v>
      </c>
      <c r="E650">
        <v>77.8</v>
      </c>
      <c r="G650">
        <v>235</v>
      </c>
      <c r="I650" t="str">
        <f>VLOOKUP(G650,Kostenstellen!$A$1:$C$17,2,0)</f>
        <v>Marketing</v>
      </c>
    </row>
    <row r="651" spans="1:9" x14ac:dyDescent="0.2">
      <c r="A651">
        <v>6425</v>
      </c>
      <c r="B651" s="7">
        <v>45692</v>
      </c>
      <c r="C651" t="s">
        <v>430</v>
      </c>
      <c r="D651" t="s">
        <v>477</v>
      </c>
      <c r="E651">
        <v>19.7</v>
      </c>
      <c r="G651">
        <v>210</v>
      </c>
      <c r="I651" t="str">
        <f>VLOOKUP(G651,Kostenstellen!$A$1:$C$17,2,0)</f>
        <v>Dev</v>
      </c>
    </row>
    <row r="652" spans="1:9" x14ac:dyDescent="0.2">
      <c r="A652">
        <v>6425</v>
      </c>
      <c r="B652" s="7">
        <v>45693</v>
      </c>
      <c r="C652" t="s">
        <v>434</v>
      </c>
      <c r="D652" t="s">
        <v>478</v>
      </c>
      <c r="E652">
        <v>128.88</v>
      </c>
      <c r="G652">
        <v>220</v>
      </c>
      <c r="I652" t="str">
        <f>VLOOKUP(G652,Kostenstellen!$A$1:$C$17,2,0)</f>
        <v>Product</v>
      </c>
    </row>
    <row r="653" spans="1:9" x14ac:dyDescent="0.2">
      <c r="A653">
        <v>6425</v>
      </c>
      <c r="B653" s="7">
        <v>45694</v>
      </c>
      <c r="C653" t="s">
        <v>479</v>
      </c>
      <c r="D653">
        <v>258859</v>
      </c>
      <c r="E653">
        <v>6</v>
      </c>
      <c r="G653">
        <v>230</v>
      </c>
      <c r="I653" t="str">
        <f>VLOOKUP(G653,Kostenstellen!$A$1:$C$17,2,0)</f>
        <v>Sales</v>
      </c>
    </row>
    <row r="654" spans="1:9" x14ac:dyDescent="0.2">
      <c r="A654">
        <v>6425</v>
      </c>
      <c r="B654" s="7">
        <v>45695</v>
      </c>
      <c r="C654" t="s">
        <v>480</v>
      </c>
      <c r="D654" t="s">
        <v>481</v>
      </c>
      <c r="E654">
        <v>95.46</v>
      </c>
      <c r="G654">
        <v>230</v>
      </c>
      <c r="I654" t="str">
        <f>VLOOKUP(G654,Kostenstellen!$A$1:$C$17,2,0)</f>
        <v>Sales</v>
      </c>
    </row>
    <row r="655" spans="1:9" x14ac:dyDescent="0.2">
      <c r="A655">
        <v>6425</v>
      </c>
      <c r="B655" s="7">
        <v>45695</v>
      </c>
      <c r="C655" t="s">
        <v>436</v>
      </c>
      <c r="D655" t="s">
        <v>482</v>
      </c>
      <c r="E655">
        <v>69.48</v>
      </c>
      <c r="G655">
        <v>220</v>
      </c>
      <c r="I655" t="str">
        <f>VLOOKUP(G655,Kostenstellen!$A$1:$C$17,2,0)</f>
        <v>Product</v>
      </c>
    </row>
    <row r="656" spans="1:9" x14ac:dyDescent="0.2">
      <c r="A656">
        <v>6425</v>
      </c>
      <c r="B656" s="7">
        <v>45698</v>
      </c>
      <c r="C656" t="s">
        <v>440</v>
      </c>
      <c r="D656">
        <v>5391697</v>
      </c>
      <c r="E656">
        <v>12.8</v>
      </c>
      <c r="G656">
        <v>235</v>
      </c>
      <c r="I656" t="str">
        <f>VLOOKUP(G656,Kostenstellen!$A$1:$C$17,2,0)</f>
        <v>Marketing</v>
      </c>
    </row>
    <row r="657" spans="1:9" x14ac:dyDescent="0.2">
      <c r="A657">
        <v>6425</v>
      </c>
      <c r="B657" s="7">
        <v>45698</v>
      </c>
      <c r="C657" t="s">
        <v>441</v>
      </c>
      <c r="D657">
        <v>17389122177848</v>
      </c>
      <c r="E657">
        <v>228.58</v>
      </c>
      <c r="G657">
        <v>202</v>
      </c>
      <c r="I657" t="str">
        <f>VLOOKUP(G657,Kostenstellen!$A$1:$C$17,2,0)</f>
        <v>Recruiting</v>
      </c>
    </row>
    <row r="658" spans="1:9" x14ac:dyDescent="0.2">
      <c r="A658">
        <v>6425</v>
      </c>
      <c r="B658" s="7">
        <v>45698</v>
      </c>
      <c r="C658" t="s">
        <v>438</v>
      </c>
      <c r="D658" t="s">
        <v>483</v>
      </c>
      <c r="E658">
        <v>60</v>
      </c>
      <c r="G658">
        <v>235</v>
      </c>
      <c r="I658" t="str">
        <f>VLOOKUP(G658,Kostenstellen!$A$1:$C$17,2,0)</f>
        <v>Marketing</v>
      </c>
    </row>
    <row r="659" spans="1:9" x14ac:dyDescent="0.2">
      <c r="A659">
        <v>6425</v>
      </c>
      <c r="B659" s="7">
        <v>45699</v>
      </c>
      <c r="C659" t="s">
        <v>484</v>
      </c>
      <c r="D659">
        <v>69561501</v>
      </c>
      <c r="E659">
        <v>10.52</v>
      </c>
      <c r="G659">
        <v>230</v>
      </c>
      <c r="I659" t="str">
        <f>VLOOKUP(G659,Kostenstellen!$A$1:$C$17,2,0)</f>
        <v>Sales</v>
      </c>
    </row>
    <row r="660" spans="1:9" x14ac:dyDescent="0.2">
      <c r="A660">
        <v>6425</v>
      </c>
      <c r="B660" s="7">
        <v>45699</v>
      </c>
      <c r="C660" t="s">
        <v>485</v>
      </c>
      <c r="D660" t="s">
        <v>486</v>
      </c>
      <c r="E660">
        <v>18.78</v>
      </c>
      <c r="G660">
        <v>235</v>
      </c>
      <c r="I660" t="str">
        <f>VLOOKUP(G660,Kostenstellen!$A$1:$C$17,2,0)</f>
        <v>Marketing</v>
      </c>
    </row>
    <row r="661" spans="1:9" x14ac:dyDescent="0.2">
      <c r="A661">
        <v>6425</v>
      </c>
      <c r="B661" s="7">
        <v>45700</v>
      </c>
      <c r="C661" t="s">
        <v>444</v>
      </c>
      <c r="D661" t="s">
        <v>487</v>
      </c>
      <c r="E661">
        <v>29.77</v>
      </c>
      <c r="G661">
        <v>235</v>
      </c>
      <c r="I661" t="str">
        <f>VLOOKUP(G661,Kostenstellen!$A$1:$C$17,2,0)</f>
        <v>Marketing</v>
      </c>
    </row>
    <row r="662" spans="1:9" x14ac:dyDescent="0.2">
      <c r="A662">
        <v>6425</v>
      </c>
      <c r="B662" s="7">
        <v>45701</v>
      </c>
      <c r="C662" t="s">
        <v>461</v>
      </c>
      <c r="D662" t="s">
        <v>488</v>
      </c>
      <c r="E662">
        <v>109.18</v>
      </c>
      <c r="G662">
        <v>210</v>
      </c>
      <c r="I662" t="str">
        <f>VLOOKUP(G662,Kostenstellen!$A$1:$C$17,2,0)</f>
        <v>Dev</v>
      </c>
    </row>
    <row r="663" spans="1:9" x14ac:dyDescent="0.2">
      <c r="A663">
        <v>6425</v>
      </c>
      <c r="B663" s="7">
        <v>45705</v>
      </c>
      <c r="C663" t="s">
        <v>489</v>
      </c>
      <c r="D663">
        <v>78173552398</v>
      </c>
      <c r="E663">
        <v>82.64</v>
      </c>
      <c r="G663">
        <v>202</v>
      </c>
      <c r="I663" t="str">
        <f>VLOOKUP(G663,Kostenstellen!$A$1:$C$17,2,0)</f>
        <v>Recruiting</v>
      </c>
    </row>
    <row r="664" spans="1:9" x14ac:dyDescent="0.2">
      <c r="A664">
        <v>6425</v>
      </c>
      <c r="B664" s="7">
        <v>45705</v>
      </c>
      <c r="C664" t="s">
        <v>446</v>
      </c>
      <c r="D664" t="s">
        <v>490</v>
      </c>
      <c r="E664">
        <v>35.39</v>
      </c>
      <c r="G664">
        <v>210</v>
      </c>
      <c r="I664" t="str">
        <f>VLOOKUP(G664,Kostenstellen!$A$1:$C$17,2,0)</f>
        <v>Dev</v>
      </c>
    </row>
    <row r="665" spans="1:9" x14ac:dyDescent="0.2">
      <c r="A665">
        <v>6425</v>
      </c>
      <c r="B665" s="7">
        <v>45706</v>
      </c>
      <c r="C665" t="s">
        <v>491</v>
      </c>
      <c r="D665" t="s">
        <v>492</v>
      </c>
      <c r="E665">
        <v>48.18</v>
      </c>
      <c r="G665">
        <v>230</v>
      </c>
      <c r="I665" t="str">
        <f>VLOOKUP(G665,Kostenstellen!$A$1:$C$17,2,0)</f>
        <v>Sales</v>
      </c>
    </row>
    <row r="666" spans="1:9" x14ac:dyDescent="0.2">
      <c r="A666">
        <v>6425</v>
      </c>
      <c r="B666" s="7">
        <v>45706</v>
      </c>
      <c r="C666" t="s">
        <v>493</v>
      </c>
      <c r="D666" t="s">
        <v>494</v>
      </c>
      <c r="E666">
        <v>343.21</v>
      </c>
      <c r="G666">
        <v>230</v>
      </c>
      <c r="I666" t="str">
        <f>VLOOKUP(G666,Kostenstellen!$A$1:$C$17,2,0)</f>
        <v>Sales</v>
      </c>
    </row>
    <row r="667" spans="1:9" x14ac:dyDescent="0.2">
      <c r="A667">
        <v>6425</v>
      </c>
      <c r="B667" s="7">
        <v>45706</v>
      </c>
      <c r="C667" t="s">
        <v>495</v>
      </c>
      <c r="D667" t="s">
        <v>496</v>
      </c>
      <c r="E667">
        <v>194</v>
      </c>
      <c r="G667">
        <v>230</v>
      </c>
      <c r="I667" t="str">
        <f>VLOOKUP(G667,Kostenstellen!$A$1:$C$17,2,0)</f>
        <v>Sales</v>
      </c>
    </row>
    <row r="668" spans="1:9" x14ac:dyDescent="0.2">
      <c r="A668">
        <v>6425</v>
      </c>
      <c r="B668" s="7">
        <v>45707</v>
      </c>
      <c r="C668" t="s">
        <v>449</v>
      </c>
      <c r="D668" s="8">
        <v>8.9149479999999996E-14</v>
      </c>
      <c r="E668">
        <v>15.6</v>
      </c>
      <c r="G668">
        <v>220</v>
      </c>
      <c r="I668" t="str">
        <f>VLOOKUP(G668,Kostenstellen!$A$1:$C$17,2,0)</f>
        <v>Product</v>
      </c>
    </row>
    <row r="669" spans="1:9" x14ac:dyDescent="0.2">
      <c r="A669">
        <v>6425</v>
      </c>
      <c r="B669" s="7">
        <v>45709</v>
      </c>
      <c r="C669" t="s">
        <v>430</v>
      </c>
      <c r="D669" t="s">
        <v>474</v>
      </c>
      <c r="E669">
        <v>19.61</v>
      </c>
      <c r="G669">
        <v>235</v>
      </c>
      <c r="I669" t="str">
        <f>VLOOKUP(G669,Kostenstellen!$A$1:$C$17,2,0)</f>
        <v>Marketing</v>
      </c>
    </row>
    <row r="670" spans="1:9" x14ac:dyDescent="0.2">
      <c r="A670">
        <v>6425</v>
      </c>
      <c r="B670" s="7">
        <v>45712</v>
      </c>
      <c r="C670" t="s">
        <v>497</v>
      </c>
      <c r="D670" t="s">
        <v>498</v>
      </c>
      <c r="E670">
        <v>4.91</v>
      </c>
      <c r="G670">
        <v>230</v>
      </c>
      <c r="I670" t="str">
        <f>VLOOKUP(G670,Kostenstellen!$A$1:$C$17,2,0)</f>
        <v>Sales</v>
      </c>
    </row>
    <row r="671" spans="1:9" x14ac:dyDescent="0.2">
      <c r="A671">
        <v>6425</v>
      </c>
      <c r="B671" s="7">
        <v>45712</v>
      </c>
      <c r="C671" t="s">
        <v>423</v>
      </c>
      <c r="D671" t="s">
        <v>499</v>
      </c>
      <c r="E671">
        <v>19.52</v>
      </c>
      <c r="G671">
        <v>220</v>
      </c>
      <c r="I671" t="str">
        <f>VLOOKUP(G671,Kostenstellen!$A$1:$C$17,2,0)</f>
        <v>Product</v>
      </c>
    </row>
    <row r="672" spans="1:9" x14ac:dyDescent="0.2">
      <c r="A672">
        <v>6425</v>
      </c>
      <c r="B672" s="7">
        <v>45712</v>
      </c>
      <c r="C672" t="s">
        <v>452</v>
      </c>
      <c r="D672" t="s">
        <v>500</v>
      </c>
      <c r="E672">
        <v>18</v>
      </c>
      <c r="G672">
        <v>220</v>
      </c>
      <c r="I672" t="str">
        <f>VLOOKUP(G672,Kostenstellen!$A$1:$C$17,2,0)</f>
        <v>Product</v>
      </c>
    </row>
    <row r="673" spans="1:9" x14ac:dyDescent="0.2">
      <c r="A673">
        <v>6425</v>
      </c>
      <c r="B673" s="7">
        <v>45712</v>
      </c>
      <c r="C673" t="s">
        <v>501</v>
      </c>
      <c r="D673" t="s">
        <v>502</v>
      </c>
      <c r="E673">
        <v>50.02</v>
      </c>
      <c r="G673">
        <v>230</v>
      </c>
      <c r="I673" t="str">
        <f>VLOOKUP(G673,Kostenstellen!$A$1:$C$17,2,0)</f>
        <v>Sales</v>
      </c>
    </row>
    <row r="674" spans="1:9" x14ac:dyDescent="0.2">
      <c r="A674">
        <v>6425</v>
      </c>
      <c r="B674" s="7">
        <v>45714</v>
      </c>
      <c r="C674" t="s">
        <v>484</v>
      </c>
      <c r="D674">
        <v>70009933</v>
      </c>
      <c r="E674">
        <v>2.19</v>
      </c>
      <c r="G674">
        <v>230</v>
      </c>
      <c r="I674" t="str">
        <f>VLOOKUP(G674,Kostenstellen!$A$1:$C$17,2,0)</f>
        <v>Sales</v>
      </c>
    </row>
    <row r="675" spans="1:9" x14ac:dyDescent="0.2">
      <c r="A675">
        <v>6425</v>
      </c>
      <c r="B675" s="7">
        <v>45714</v>
      </c>
      <c r="C675" t="s">
        <v>454</v>
      </c>
      <c r="D675" t="s">
        <v>503</v>
      </c>
      <c r="E675">
        <v>97.59</v>
      </c>
      <c r="G675">
        <v>210</v>
      </c>
      <c r="I675" t="str">
        <f>VLOOKUP(G675,Kostenstellen!$A$1:$C$17,2,0)</f>
        <v>Dev</v>
      </c>
    </row>
    <row r="676" spans="1:9" x14ac:dyDescent="0.2">
      <c r="A676">
        <v>6425</v>
      </c>
      <c r="B676" s="7">
        <v>45715</v>
      </c>
      <c r="C676" t="s">
        <v>456</v>
      </c>
      <c r="D676" s="8" t="s">
        <v>504</v>
      </c>
      <c r="E676">
        <v>70.25</v>
      </c>
      <c r="G676">
        <v>210</v>
      </c>
      <c r="I676" t="str">
        <f>VLOOKUP(G676,Kostenstellen!$A$1:$C$17,2,0)</f>
        <v>Dev</v>
      </c>
    </row>
    <row r="677" spans="1:9" x14ac:dyDescent="0.2">
      <c r="A677">
        <v>6425</v>
      </c>
      <c r="B677" s="7">
        <v>45716</v>
      </c>
      <c r="C677" t="s">
        <v>464</v>
      </c>
      <c r="D677" t="s">
        <v>352</v>
      </c>
      <c r="E677">
        <v>111.83</v>
      </c>
      <c r="G677">
        <v>230</v>
      </c>
      <c r="I677" t="str">
        <f>VLOOKUP(G677,Kostenstellen!$A$1:$C$17,2,0)</f>
        <v>Sales</v>
      </c>
    </row>
    <row r="678" spans="1:9" x14ac:dyDescent="0.2">
      <c r="A678">
        <v>6425</v>
      </c>
      <c r="B678" s="7">
        <v>45716</v>
      </c>
      <c r="C678" t="s">
        <v>442</v>
      </c>
      <c r="D678">
        <v>76993511</v>
      </c>
      <c r="E678">
        <v>9.74</v>
      </c>
      <c r="G678">
        <v>210</v>
      </c>
      <c r="I678" t="str">
        <f>VLOOKUP(G678,Kostenstellen!$A$1:$C$17,2,0)</f>
        <v>Dev</v>
      </c>
    </row>
    <row r="679" spans="1:9" x14ac:dyDescent="0.2">
      <c r="A679">
        <v>6425</v>
      </c>
      <c r="B679" s="7">
        <v>45716</v>
      </c>
      <c r="C679" t="s">
        <v>465</v>
      </c>
      <c r="D679">
        <v>20255000001</v>
      </c>
      <c r="E679">
        <v>800</v>
      </c>
      <c r="G679">
        <v>200</v>
      </c>
      <c r="I679" t="str">
        <f>VLOOKUP(G679,Kostenstellen!$A$1:$C$17,2,0)</f>
        <v>aqua</v>
      </c>
    </row>
    <row r="680" spans="1:9" x14ac:dyDescent="0.2">
      <c r="A680">
        <v>6425</v>
      </c>
      <c r="B680" s="7">
        <v>45716</v>
      </c>
      <c r="C680" t="s">
        <v>384</v>
      </c>
      <c r="D680">
        <v>20255000001</v>
      </c>
      <c r="E680">
        <v>500</v>
      </c>
      <c r="G680">
        <v>200</v>
      </c>
      <c r="I680" t="str">
        <f>VLOOKUP(G680,Kostenstellen!$A$1:$C$17,2,0)</f>
        <v>aqua</v>
      </c>
    </row>
    <row r="681" spans="1:9" x14ac:dyDescent="0.2">
      <c r="A681">
        <v>6425</v>
      </c>
      <c r="B681" s="7">
        <v>45716</v>
      </c>
      <c r="C681" t="s">
        <v>497</v>
      </c>
      <c r="D681" t="s">
        <v>505</v>
      </c>
      <c r="E681">
        <v>39.35</v>
      </c>
      <c r="G681">
        <v>220</v>
      </c>
      <c r="I681" t="str">
        <f>VLOOKUP(G681,Kostenstellen!$A$1:$C$17,2,0)</f>
        <v>Product</v>
      </c>
    </row>
    <row r="682" spans="1:9" x14ac:dyDescent="0.2">
      <c r="A682">
        <v>6425</v>
      </c>
      <c r="B682" s="7">
        <v>45716</v>
      </c>
      <c r="C682" t="s">
        <v>506</v>
      </c>
      <c r="D682" t="s">
        <v>507</v>
      </c>
      <c r="E682">
        <v>855</v>
      </c>
      <c r="G682">
        <v>200</v>
      </c>
      <c r="I682" t="str">
        <f>VLOOKUP(G682,Kostenstellen!$A$1:$C$17,2,0)</f>
        <v>aqua</v>
      </c>
    </row>
    <row r="683" spans="1:9" x14ac:dyDescent="0.2">
      <c r="A683">
        <v>6425</v>
      </c>
      <c r="B683" s="7">
        <v>45719</v>
      </c>
      <c r="C683" t="s">
        <v>430</v>
      </c>
      <c r="D683" t="s">
        <v>508</v>
      </c>
      <c r="E683">
        <v>19.61</v>
      </c>
      <c r="G683">
        <v>220</v>
      </c>
      <c r="I683" t="str">
        <f>VLOOKUP(G683,Kostenstellen!$A$1:$C$17,2,0)</f>
        <v>Product</v>
      </c>
    </row>
    <row r="684" spans="1:9" x14ac:dyDescent="0.2">
      <c r="A684">
        <v>6425</v>
      </c>
      <c r="B684" s="7">
        <v>45719</v>
      </c>
      <c r="C684" t="s">
        <v>470</v>
      </c>
      <c r="D684" t="s">
        <v>509</v>
      </c>
      <c r="E684">
        <v>265</v>
      </c>
      <c r="G684">
        <v>210</v>
      </c>
      <c r="I684" t="str">
        <f>VLOOKUP(G684,Kostenstellen!$A$1:$C$17,2,0)</f>
        <v>Dev</v>
      </c>
    </row>
    <row r="685" spans="1:9" x14ac:dyDescent="0.2">
      <c r="A685">
        <v>6425</v>
      </c>
      <c r="B685" s="7">
        <v>45719</v>
      </c>
      <c r="C685" t="s">
        <v>418</v>
      </c>
      <c r="D685" t="s">
        <v>510</v>
      </c>
      <c r="E685">
        <v>19.66</v>
      </c>
      <c r="G685">
        <v>220</v>
      </c>
      <c r="I685" t="str">
        <f>VLOOKUP(G685,Kostenstellen!$A$1:$C$17,2,0)</f>
        <v>Product</v>
      </c>
    </row>
    <row r="686" spans="1:9" x14ac:dyDescent="0.2">
      <c r="A686">
        <v>6425</v>
      </c>
      <c r="B686" s="7">
        <v>45719</v>
      </c>
      <c r="C686" t="s">
        <v>438</v>
      </c>
      <c r="D686" t="s">
        <v>511</v>
      </c>
      <c r="E686">
        <v>53.94</v>
      </c>
      <c r="G686">
        <v>220</v>
      </c>
      <c r="I686" t="str">
        <f>VLOOKUP(G686,Kostenstellen!$A$1:$C$17,2,0)</f>
        <v>Product</v>
      </c>
    </row>
    <row r="687" spans="1:9" x14ac:dyDescent="0.2">
      <c r="A687">
        <v>6425</v>
      </c>
      <c r="B687" s="7">
        <v>45719</v>
      </c>
      <c r="C687" t="s">
        <v>442</v>
      </c>
      <c r="D687" t="s">
        <v>512</v>
      </c>
      <c r="E687">
        <v>559.1</v>
      </c>
      <c r="G687">
        <v>210</v>
      </c>
      <c r="I687" t="str">
        <f>VLOOKUP(G687,Kostenstellen!$A$1:$C$17,2,0)</f>
        <v>Dev</v>
      </c>
    </row>
    <row r="688" spans="1:9" x14ac:dyDescent="0.2">
      <c r="A688">
        <v>6425</v>
      </c>
      <c r="B688" s="7">
        <v>45719</v>
      </c>
      <c r="C688" t="s">
        <v>466</v>
      </c>
      <c r="D688" t="s">
        <v>513</v>
      </c>
      <c r="E688">
        <v>16.809999999999999</v>
      </c>
      <c r="G688">
        <v>210</v>
      </c>
      <c r="I688" t="str">
        <f>VLOOKUP(G688,Kostenstellen!$A$1:$C$17,2,0)</f>
        <v>Dev</v>
      </c>
    </row>
    <row r="689" spans="1:9" x14ac:dyDescent="0.2">
      <c r="A689">
        <v>6425</v>
      </c>
      <c r="B689" s="7">
        <v>45719</v>
      </c>
      <c r="C689" t="s">
        <v>420</v>
      </c>
      <c r="D689" t="s">
        <v>514</v>
      </c>
      <c r="E689">
        <v>49.13</v>
      </c>
      <c r="G689">
        <v>210</v>
      </c>
      <c r="I689" t="str">
        <f>VLOOKUP(G689,Kostenstellen!$A$1:$C$17,2,0)</f>
        <v>Dev</v>
      </c>
    </row>
    <row r="690" spans="1:9" x14ac:dyDescent="0.2">
      <c r="A690">
        <v>6425</v>
      </c>
      <c r="B690" s="7">
        <v>45720</v>
      </c>
      <c r="C690" t="s">
        <v>422</v>
      </c>
      <c r="D690">
        <v>105226</v>
      </c>
      <c r="E690">
        <v>150</v>
      </c>
      <c r="G690">
        <v>200</v>
      </c>
      <c r="I690" t="str">
        <f>VLOOKUP(G690,Kostenstellen!$A$1:$C$17,2,0)</f>
        <v>aqua</v>
      </c>
    </row>
    <row r="691" spans="1:9" x14ac:dyDescent="0.2">
      <c r="A691">
        <v>6425</v>
      </c>
      <c r="B691" s="7">
        <v>45720</v>
      </c>
      <c r="C691" t="s">
        <v>425</v>
      </c>
      <c r="D691">
        <v>143452</v>
      </c>
      <c r="E691">
        <v>24.52</v>
      </c>
      <c r="G691">
        <v>210</v>
      </c>
      <c r="I691" t="str">
        <f>VLOOKUP(G691,Kostenstellen!$A$1:$C$17,2,0)</f>
        <v>Dev</v>
      </c>
    </row>
    <row r="692" spans="1:9" x14ac:dyDescent="0.2">
      <c r="A692">
        <v>6425</v>
      </c>
      <c r="B692" s="7">
        <v>45720</v>
      </c>
      <c r="C692" t="s">
        <v>515</v>
      </c>
      <c r="D692" t="s">
        <v>516</v>
      </c>
      <c r="E692">
        <v>260</v>
      </c>
      <c r="G692">
        <v>230</v>
      </c>
      <c r="I692" t="str">
        <f>VLOOKUP(G692,Kostenstellen!$A$1:$C$17,2,0)</f>
        <v>Sales</v>
      </c>
    </row>
    <row r="693" spans="1:9" x14ac:dyDescent="0.2">
      <c r="A693">
        <v>6425</v>
      </c>
      <c r="B693" s="7">
        <v>45720</v>
      </c>
      <c r="C693" t="s">
        <v>426</v>
      </c>
      <c r="D693" t="s">
        <v>517</v>
      </c>
      <c r="E693">
        <v>19.66</v>
      </c>
      <c r="G693">
        <v>220</v>
      </c>
      <c r="I693" t="str">
        <f>VLOOKUP(G693,Kostenstellen!$A$1:$C$17,2,0)</f>
        <v>Product</v>
      </c>
    </row>
    <row r="694" spans="1:9" x14ac:dyDescent="0.2">
      <c r="A694">
        <v>6425</v>
      </c>
      <c r="B694" s="7">
        <v>45720</v>
      </c>
      <c r="C694" t="s">
        <v>430</v>
      </c>
      <c r="D694" t="s">
        <v>518</v>
      </c>
      <c r="E694">
        <v>19.66</v>
      </c>
      <c r="G694">
        <v>210</v>
      </c>
      <c r="I694" t="str">
        <f>VLOOKUP(G694,Kostenstellen!$A$1:$C$17,2,0)</f>
        <v>Dev</v>
      </c>
    </row>
    <row r="695" spans="1:9" x14ac:dyDescent="0.2">
      <c r="A695">
        <v>6425</v>
      </c>
      <c r="B695" s="7">
        <v>45720</v>
      </c>
      <c r="C695" t="s">
        <v>428</v>
      </c>
      <c r="D695" t="s">
        <v>519</v>
      </c>
      <c r="E695">
        <v>77.64</v>
      </c>
      <c r="G695">
        <v>235</v>
      </c>
      <c r="I695" t="str">
        <f>VLOOKUP(G695,Kostenstellen!$A$1:$C$17,2,0)</f>
        <v>Marketing</v>
      </c>
    </row>
    <row r="696" spans="1:9" x14ac:dyDescent="0.2">
      <c r="A696">
        <v>6425</v>
      </c>
      <c r="B696" s="7">
        <v>45721</v>
      </c>
      <c r="C696" t="s">
        <v>438</v>
      </c>
      <c r="D696" t="s">
        <v>520</v>
      </c>
      <c r="E696">
        <v>71.400000000000006</v>
      </c>
      <c r="G696">
        <v>235</v>
      </c>
      <c r="I696" t="str">
        <f>VLOOKUP(G696,Kostenstellen!$A$1:$C$17,2,0)</f>
        <v>Marketing</v>
      </c>
    </row>
    <row r="697" spans="1:9" x14ac:dyDescent="0.2">
      <c r="A697">
        <v>6425</v>
      </c>
      <c r="B697" s="7">
        <v>45721</v>
      </c>
      <c r="C697" t="s">
        <v>434</v>
      </c>
      <c r="D697" t="s">
        <v>521</v>
      </c>
      <c r="E697">
        <v>126.77</v>
      </c>
      <c r="G697">
        <v>220</v>
      </c>
      <c r="I697" t="str">
        <f>VLOOKUP(G697,Kostenstellen!$A$1:$C$17,2,0)</f>
        <v>Product</v>
      </c>
    </row>
    <row r="698" spans="1:9" x14ac:dyDescent="0.2">
      <c r="A698">
        <v>6425</v>
      </c>
      <c r="B698" s="7">
        <v>45722</v>
      </c>
      <c r="C698" t="s">
        <v>522</v>
      </c>
      <c r="D698" t="s">
        <v>523</v>
      </c>
      <c r="E698">
        <v>292.39999999999998</v>
      </c>
      <c r="G698">
        <v>230</v>
      </c>
      <c r="I698" t="str">
        <f>VLOOKUP(G698,Kostenstellen!$A$1:$C$17,2,0)</f>
        <v>Sales</v>
      </c>
    </row>
    <row r="699" spans="1:9" x14ac:dyDescent="0.2">
      <c r="A699">
        <v>6425</v>
      </c>
      <c r="B699" s="7">
        <v>45723</v>
      </c>
      <c r="C699" t="s">
        <v>480</v>
      </c>
      <c r="D699" t="s">
        <v>524</v>
      </c>
      <c r="E699">
        <v>93.88</v>
      </c>
      <c r="G699">
        <v>230</v>
      </c>
      <c r="I699" t="str">
        <f>VLOOKUP(G699,Kostenstellen!$A$1:$C$17,2,0)</f>
        <v>Sales</v>
      </c>
    </row>
    <row r="700" spans="1:9" x14ac:dyDescent="0.2">
      <c r="A700">
        <v>6425</v>
      </c>
      <c r="B700" s="7">
        <v>45723</v>
      </c>
      <c r="C700" t="s">
        <v>436</v>
      </c>
      <c r="D700" t="s">
        <v>525</v>
      </c>
      <c r="E700">
        <v>77.430000000000007</v>
      </c>
      <c r="G700">
        <v>220</v>
      </c>
      <c r="I700" t="str">
        <f>VLOOKUP(G700,Kostenstellen!$A$1:$C$17,2,0)</f>
        <v>Product</v>
      </c>
    </row>
    <row r="701" spans="1:9" x14ac:dyDescent="0.2">
      <c r="A701">
        <v>6425</v>
      </c>
      <c r="B701" s="7">
        <v>45726</v>
      </c>
      <c r="C701" t="s">
        <v>440</v>
      </c>
      <c r="D701">
        <v>7115418</v>
      </c>
      <c r="E701">
        <v>12.27</v>
      </c>
      <c r="G701">
        <v>235</v>
      </c>
      <c r="I701" t="str">
        <f>VLOOKUP(G701,Kostenstellen!$A$1:$C$17,2,0)</f>
        <v>Marketing</v>
      </c>
    </row>
    <row r="702" spans="1:9" x14ac:dyDescent="0.2">
      <c r="A702">
        <v>6425</v>
      </c>
      <c r="B702" s="7">
        <v>45726</v>
      </c>
      <c r="C702" t="s">
        <v>484</v>
      </c>
      <c r="D702">
        <v>70365128</v>
      </c>
      <c r="E702">
        <v>14.31</v>
      </c>
      <c r="G702">
        <v>230</v>
      </c>
      <c r="I702" t="str">
        <f>VLOOKUP(G702,Kostenstellen!$A$1:$C$17,2,0)</f>
        <v>Sales</v>
      </c>
    </row>
    <row r="703" spans="1:9" x14ac:dyDescent="0.2">
      <c r="A703">
        <v>6425</v>
      </c>
      <c r="B703" s="7">
        <v>45726</v>
      </c>
      <c r="C703" t="s">
        <v>441</v>
      </c>
      <c r="D703">
        <v>1741331249089</v>
      </c>
      <c r="E703">
        <v>220.09</v>
      </c>
      <c r="G703">
        <v>202</v>
      </c>
      <c r="I703" t="str">
        <f>VLOOKUP(G703,Kostenstellen!$A$1:$C$17,2,0)</f>
        <v>Recruiting</v>
      </c>
    </row>
    <row r="704" spans="1:9" x14ac:dyDescent="0.2">
      <c r="A704">
        <v>6425</v>
      </c>
      <c r="B704" s="7">
        <v>45726</v>
      </c>
      <c r="C704" t="s">
        <v>526</v>
      </c>
      <c r="D704" t="s">
        <v>527</v>
      </c>
      <c r="E704">
        <v>8.0399999999999991</v>
      </c>
      <c r="G704">
        <v>235</v>
      </c>
      <c r="I704" t="str">
        <f>VLOOKUP(G704,Kostenstellen!$A$1:$C$17,2,0)</f>
        <v>Marketing</v>
      </c>
    </row>
    <row r="705" spans="1:9" x14ac:dyDescent="0.2">
      <c r="A705">
        <v>6425</v>
      </c>
      <c r="B705" s="7">
        <v>45727</v>
      </c>
      <c r="C705" t="s">
        <v>501</v>
      </c>
      <c r="D705" t="s">
        <v>528</v>
      </c>
      <c r="E705">
        <v>4.74</v>
      </c>
      <c r="G705">
        <v>235</v>
      </c>
      <c r="I705" t="str">
        <f>VLOOKUP(G705,Kostenstellen!$A$1:$C$17,2,0)</f>
        <v>Marketing</v>
      </c>
    </row>
    <row r="706" spans="1:9" x14ac:dyDescent="0.2">
      <c r="A706">
        <v>6425</v>
      </c>
      <c r="B706" s="7">
        <v>45728</v>
      </c>
      <c r="C706" t="s">
        <v>461</v>
      </c>
      <c r="D706" t="s">
        <v>529</v>
      </c>
      <c r="E706">
        <v>104</v>
      </c>
      <c r="G706">
        <v>210</v>
      </c>
      <c r="I706" t="str">
        <f>VLOOKUP(G706,Kostenstellen!$A$1:$C$17,2,0)</f>
        <v>Dev</v>
      </c>
    </row>
    <row r="707" spans="1:9" x14ac:dyDescent="0.2">
      <c r="A707">
        <v>6425</v>
      </c>
      <c r="B707" s="7">
        <v>45728</v>
      </c>
      <c r="C707" t="s">
        <v>444</v>
      </c>
      <c r="D707" t="s">
        <v>530</v>
      </c>
      <c r="E707">
        <v>28.33</v>
      </c>
      <c r="G707">
        <v>235</v>
      </c>
      <c r="I707" t="str">
        <f>VLOOKUP(G707,Kostenstellen!$A$1:$C$17,2,0)</f>
        <v>Marketing</v>
      </c>
    </row>
    <row r="708" spans="1:9" x14ac:dyDescent="0.2">
      <c r="A708">
        <v>6425</v>
      </c>
      <c r="B708" s="7">
        <v>45730</v>
      </c>
      <c r="C708" t="s">
        <v>484</v>
      </c>
      <c r="D708">
        <v>70493993</v>
      </c>
      <c r="E708">
        <v>2.11</v>
      </c>
      <c r="G708">
        <v>230</v>
      </c>
      <c r="I708" t="str">
        <f>VLOOKUP(G708,Kostenstellen!$A$1:$C$17,2,0)</f>
        <v>Sales</v>
      </c>
    </row>
    <row r="709" spans="1:9" x14ac:dyDescent="0.2">
      <c r="A709">
        <v>6425</v>
      </c>
      <c r="B709" s="7">
        <v>45730</v>
      </c>
      <c r="C709" t="s">
        <v>484</v>
      </c>
      <c r="D709">
        <v>70493993</v>
      </c>
      <c r="E709">
        <v>2.11</v>
      </c>
      <c r="G709">
        <v>230</v>
      </c>
      <c r="I709" t="str">
        <f>VLOOKUP(G709,Kostenstellen!$A$1:$C$17,2,0)</f>
        <v>Sales</v>
      </c>
    </row>
    <row r="710" spans="1:9" x14ac:dyDescent="0.2">
      <c r="A710">
        <v>6425</v>
      </c>
      <c r="B710" s="7">
        <v>45730</v>
      </c>
      <c r="C710" t="s">
        <v>531</v>
      </c>
      <c r="D710" t="s">
        <v>532</v>
      </c>
      <c r="E710">
        <v>9.93</v>
      </c>
      <c r="G710">
        <v>230</v>
      </c>
      <c r="I710" t="str">
        <f>VLOOKUP(G710,Kostenstellen!$A$1:$C$17,2,0)</f>
        <v>Sales</v>
      </c>
    </row>
    <row r="711" spans="1:9" x14ac:dyDescent="0.2">
      <c r="A711">
        <v>6425</v>
      </c>
      <c r="B711" s="7">
        <v>45733</v>
      </c>
      <c r="C711" t="s">
        <v>533</v>
      </c>
      <c r="D711">
        <v>78183309583</v>
      </c>
      <c r="E711">
        <v>82.64</v>
      </c>
      <c r="G711">
        <v>202</v>
      </c>
      <c r="I711" t="str">
        <f>VLOOKUP(G711,Kostenstellen!$A$1:$C$17,2,0)</f>
        <v>Recruiting</v>
      </c>
    </row>
    <row r="712" spans="1:9" x14ac:dyDescent="0.2">
      <c r="A712">
        <v>6425</v>
      </c>
      <c r="B712" s="7">
        <v>45733</v>
      </c>
      <c r="C712" t="s">
        <v>446</v>
      </c>
      <c r="D712" t="s">
        <v>534</v>
      </c>
      <c r="E712">
        <v>33.89</v>
      </c>
      <c r="G712">
        <v>210</v>
      </c>
      <c r="I712" t="str">
        <f>VLOOKUP(G712,Kostenstellen!$A$1:$C$17,2,0)</f>
        <v>Dev</v>
      </c>
    </row>
    <row r="713" spans="1:9" x14ac:dyDescent="0.2">
      <c r="A713">
        <v>6425</v>
      </c>
      <c r="B713" s="7">
        <v>45733</v>
      </c>
      <c r="C713" t="s">
        <v>535</v>
      </c>
      <c r="D713" t="s">
        <v>536</v>
      </c>
      <c r="E713">
        <v>28.56</v>
      </c>
      <c r="G713">
        <v>235</v>
      </c>
      <c r="I713" t="str">
        <f>VLOOKUP(G713,Kostenstellen!$A$1:$C$17,2,0)</f>
        <v>Marketing</v>
      </c>
    </row>
    <row r="714" spans="1:9" x14ac:dyDescent="0.2">
      <c r="A714">
        <v>6425</v>
      </c>
      <c r="B714" s="7">
        <v>45733</v>
      </c>
      <c r="C714" t="s">
        <v>537</v>
      </c>
      <c r="D714" t="s">
        <v>538</v>
      </c>
      <c r="E714">
        <v>4.71</v>
      </c>
      <c r="G714">
        <v>235</v>
      </c>
      <c r="I714" t="str">
        <f>VLOOKUP(G714,Kostenstellen!$A$1:$C$17,2,0)</f>
        <v>Marketing</v>
      </c>
    </row>
    <row r="715" spans="1:9" x14ac:dyDescent="0.2">
      <c r="A715">
        <v>6425</v>
      </c>
      <c r="B715" s="7">
        <v>45734</v>
      </c>
      <c r="C715" t="s">
        <v>493</v>
      </c>
      <c r="D715" t="s">
        <v>539</v>
      </c>
      <c r="E715">
        <v>328.73</v>
      </c>
      <c r="G715">
        <v>230</v>
      </c>
      <c r="I715" t="str">
        <f>VLOOKUP(G715,Kostenstellen!$A$1:$C$17,2,0)</f>
        <v>Sales</v>
      </c>
    </row>
    <row r="716" spans="1:9" x14ac:dyDescent="0.2">
      <c r="A716">
        <v>6425</v>
      </c>
      <c r="B716" s="7">
        <v>45734</v>
      </c>
      <c r="C716" t="s">
        <v>495</v>
      </c>
      <c r="D716" t="s">
        <v>540</v>
      </c>
      <c r="E716">
        <v>194</v>
      </c>
      <c r="G716">
        <v>230</v>
      </c>
      <c r="I716" t="str">
        <f>VLOOKUP(G716,Kostenstellen!$A$1:$C$17,2,0)</f>
        <v>Sales</v>
      </c>
    </row>
    <row r="717" spans="1:9" x14ac:dyDescent="0.2">
      <c r="A717">
        <v>6425</v>
      </c>
      <c r="B717" s="7">
        <v>45734</v>
      </c>
      <c r="C717" t="s">
        <v>491</v>
      </c>
      <c r="D717" t="s">
        <v>541</v>
      </c>
      <c r="E717">
        <v>46.16</v>
      </c>
      <c r="G717">
        <v>230</v>
      </c>
      <c r="I717" t="str">
        <f>VLOOKUP(G717,Kostenstellen!$A$1:$C$17,2,0)</f>
        <v>Sales</v>
      </c>
    </row>
    <row r="718" spans="1:9" x14ac:dyDescent="0.2">
      <c r="A718">
        <v>6425</v>
      </c>
      <c r="B718" s="7">
        <v>45735</v>
      </c>
      <c r="C718" t="s">
        <v>542</v>
      </c>
      <c r="D718">
        <v>78181846499</v>
      </c>
      <c r="E718">
        <v>99.99</v>
      </c>
      <c r="G718">
        <v>230</v>
      </c>
      <c r="I718" t="str">
        <f>VLOOKUP(G718,Kostenstellen!$A$1:$C$17,2,0)</f>
        <v>Sales</v>
      </c>
    </row>
    <row r="719" spans="1:9" x14ac:dyDescent="0.2">
      <c r="A719">
        <v>6425</v>
      </c>
      <c r="B719" s="7">
        <v>45735</v>
      </c>
      <c r="C719" t="s">
        <v>543</v>
      </c>
      <c r="D719" t="s">
        <v>544</v>
      </c>
      <c r="E719">
        <v>9.3800000000000008</v>
      </c>
      <c r="G719">
        <v>235</v>
      </c>
      <c r="I719" t="str">
        <f>VLOOKUP(G719,Kostenstellen!$A$1:$C$17,2,0)</f>
        <v>Marketing</v>
      </c>
    </row>
    <row r="720" spans="1:9" x14ac:dyDescent="0.2">
      <c r="A720">
        <v>6425</v>
      </c>
      <c r="B720" s="7">
        <v>45735</v>
      </c>
      <c r="C720" t="s">
        <v>449</v>
      </c>
      <c r="D720" s="8">
        <v>8.9149480000000006E-15</v>
      </c>
      <c r="E720">
        <v>15.01</v>
      </c>
      <c r="G720">
        <v>220</v>
      </c>
      <c r="I720" t="str">
        <f>VLOOKUP(G720,Kostenstellen!$A$1:$C$17,2,0)</f>
        <v>Product</v>
      </c>
    </row>
    <row r="721" spans="1:9" x14ac:dyDescent="0.2">
      <c r="A721">
        <v>6425</v>
      </c>
      <c r="B721" s="7">
        <v>45736</v>
      </c>
      <c r="C721" t="s">
        <v>545</v>
      </c>
      <c r="D721" t="s">
        <v>546</v>
      </c>
      <c r="E721">
        <v>16.66</v>
      </c>
      <c r="G721">
        <v>235</v>
      </c>
      <c r="I721" t="str">
        <f>VLOOKUP(G721,Kostenstellen!$A$1:$C$17,2,0)</f>
        <v>Marketing</v>
      </c>
    </row>
    <row r="722" spans="1:9" x14ac:dyDescent="0.2">
      <c r="A722">
        <v>6425</v>
      </c>
      <c r="B722" s="7">
        <v>45740</v>
      </c>
      <c r="C722" t="s">
        <v>423</v>
      </c>
      <c r="D722" t="s">
        <v>547</v>
      </c>
      <c r="E722">
        <v>18.899999999999999</v>
      </c>
      <c r="G722">
        <v>220</v>
      </c>
      <c r="I722" t="str">
        <f>VLOOKUP(G722,Kostenstellen!$A$1:$C$17,2,0)</f>
        <v>Product</v>
      </c>
    </row>
    <row r="723" spans="1:9" x14ac:dyDescent="0.2">
      <c r="A723">
        <v>6425</v>
      </c>
      <c r="B723" s="7">
        <v>45740</v>
      </c>
      <c r="C723" t="s">
        <v>452</v>
      </c>
      <c r="D723" t="s">
        <v>548</v>
      </c>
      <c r="E723">
        <v>18</v>
      </c>
      <c r="G723">
        <v>220</v>
      </c>
      <c r="I723" t="str">
        <f>VLOOKUP(G723,Kostenstellen!$A$1:$C$17,2,0)</f>
        <v>Product</v>
      </c>
    </row>
    <row r="724" spans="1:9" x14ac:dyDescent="0.2">
      <c r="A724">
        <v>6425</v>
      </c>
      <c r="B724" s="7">
        <v>45741</v>
      </c>
      <c r="C724" t="s">
        <v>501</v>
      </c>
      <c r="D724" t="s">
        <v>549</v>
      </c>
      <c r="E724">
        <v>4.72</v>
      </c>
      <c r="G724">
        <v>230</v>
      </c>
      <c r="I724" t="str">
        <f>VLOOKUP(G724,Kostenstellen!$A$1:$C$17,2,0)</f>
        <v>Sales</v>
      </c>
    </row>
    <row r="725" spans="1:9" x14ac:dyDescent="0.2">
      <c r="A725">
        <v>6425</v>
      </c>
      <c r="B725" s="7">
        <v>45741</v>
      </c>
      <c r="C725" t="s">
        <v>550</v>
      </c>
      <c r="D725" t="s">
        <v>551</v>
      </c>
      <c r="E725">
        <v>42.51</v>
      </c>
      <c r="G725">
        <v>230</v>
      </c>
      <c r="I725" t="str">
        <f>VLOOKUP(G725,Kostenstellen!$A$1:$C$17,2,0)</f>
        <v>Sales</v>
      </c>
    </row>
    <row r="726" spans="1:9" x14ac:dyDescent="0.2">
      <c r="A726">
        <v>6425</v>
      </c>
      <c r="B726" s="7">
        <v>45742</v>
      </c>
      <c r="C726" t="s">
        <v>552</v>
      </c>
      <c r="D726" t="s">
        <v>553</v>
      </c>
      <c r="E726">
        <v>10.35</v>
      </c>
      <c r="G726">
        <v>235</v>
      </c>
      <c r="I726" t="str">
        <f>VLOOKUP(G726,Kostenstellen!$A$1:$C$17,2,0)</f>
        <v>Marketing</v>
      </c>
    </row>
    <row r="727" spans="1:9" x14ac:dyDescent="0.2">
      <c r="A727">
        <v>6425</v>
      </c>
      <c r="B727" s="7">
        <v>45742</v>
      </c>
      <c r="C727" t="s">
        <v>454</v>
      </c>
      <c r="D727" t="s">
        <v>554</v>
      </c>
      <c r="E727">
        <v>94.54</v>
      </c>
      <c r="G727">
        <v>210</v>
      </c>
      <c r="I727" t="str">
        <f>VLOOKUP(G727,Kostenstellen!$A$1:$C$17,2,0)</f>
        <v>Dev</v>
      </c>
    </row>
    <row r="728" spans="1:9" x14ac:dyDescent="0.2">
      <c r="A728">
        <v>6425</v>
      </c>
      <c r="B728" s="7">
        <v>45743</v>
      </c>
      <c r="C728" t="s">
        <v>456</v>
      </c>
      <c r="D728" s="8" t="s">
        <v>555</v>
      </c>
      <c r="E728">
        <v>68.17</v>
      </c>
      <c r="G728">
        <v>210</v>
      </c>
      <c r="I728" t="str">
        <f>VLOOKUP(G728,Kostenstellen!$A$1:$C$17,2,0)</f>
        <v>Dev</v>
      </c>
    </row>
    <row r="729" spans="1:9" x14ac:dyDescent="0.2">
      <c r="A729">
        <v>6425</v>
      </c>
      <c r="B729" s="7">
        <v>45744</v>
      </c>
      <c r="C729" t="s">
        <v>537</v>
      </c>
      <c r="D729" t="s">
        <v>556</v>
      </c>
      <c r="E729">
        <v>18.95</v>
      </c>
      <c r="G729">
        <v>235</v>
      </c>
      <c r="I729" t="str">
        <f>VLOOKUP(G729,Kostenstellen!$A$1:$C$17,2,0)</f>
        <v>Marketing</v>
      </c>
    </row>
    <row r="730" spans="1:9" x14ac:dyDescent="0.2">
      <c r="A730">
        <v>6425</v>
      </c>
      <c r="B730" s="7">
        <v>45744</v>
      </c>
      <c r="C730" t="s">
        <v>442</v>
      </c>
      <c r="D730" t="s">
        <v>557</v>
      </c>
      <c r="E730">
        <v>9.48</v>
      </c>
      <c r="G730">
        <v>210</v>
      </c>
      <c r="I730" t="str">
        <f>VLOOKUP(G730,Kostenstellen!$A$1:$C$17,2,0)</f>
        <v>Dev</v>
      </c>
    </row>
    <row r="731" spans="1:9" x14ac:dyDescent="0.2">
      <c r="A731">
        <v>6425</v>
      </c>
      <c r="B731" s="7">
        <v>45744</v>
      </c>
      <c r="C731" t="s">
        <v>558</v>
      </c>
      <c r="D731" t="s">
        <v>559</v>
      </c>
      <c r="E731">
        <v>855</v>
      </c>
      <c r="G731">
        <v>200</v>
      </c>
      <c r="I731" t="str">
        <f>VLOOKUP(G731,Kostenstellen!$A$1:$C$17,2,0)</f>
        <v>aqua</v>
      </c>
    </row>
    <row r="732" spans="1:9" x14ac:dyDescent="0.2">
      <c r="A732">
        <v>6425</v>
      </c>
      <c r="B732" s="7">
        <v>45747</v>
      </c>
      <c r="C732" t="s">
        <v>464</v>
      </c>
      <c r="D732" t="s">
        <v>352</v>
      </c>
      <c r="E732">
        <v>111.77</v>
      </c>
      <c r="G732">
        <v>230</v>
      </c>
      <c r="I732" t="str">
        <f>VLOOKUP(G732,Kostenstellen!$A$1:$C$17,2,0)</f>
        <v>Sales</v>
      </c>
    </row>
    <row r="733" spans="1:9" x14ac:dyDescent="0.2">
      <c r="A733">
        <v>6425</v>
      </c>
      <c r="B733" s="7">
        <v>45747</v>
      </c>
      <c r="C733" t="s">
        <v>465</v>
      </c>
      <c r="D733">
        <v>20255000001</v>
      </c>
      <c r="E733">
        <v>800</v>
      </c>
      <c r="G733">
        <v>200</v>
      </c>
      <c r="I733" t="str">
        <f>VLOOKUP(G733,Kostenstellen!$A$1:$C$17,2,0)</f>
        <v>aqua</v>
      </c>
    </row>
    <row r="734" spans="1:9" x14ac:dyDescent="0.2">
      <c r="A734">
        <v>6425</v>
      </c>
      <c r="B734" s="7">
        <v>45747</v>
      </c>
      <c r="C734" t="s">
        <v>384</v>
      </c>
      <c r="D734">
        <v>20255000001</v>
      </c>
      <c r="E734">
        <v>500</v>
      </c>
      <c r="G734">
        <v>200</v>
      </c>
      <c r="I734" t="str">
        <f>VLOOKUP(G734,Kostenstellen!$A$1:$C$17,2,0)</f>
        <v>aqua</v>
      </c>
    </row>
    <row r="735" spans="1:9" x14ac:dyDescent="0.2">
      <c r="A735">
        <v>6425</v>
      </c>
      <c r="B735" s="7">
        <v>45747</v>
      </c>
      <c r="C735" t="s">
        <v>430</v>
      </c>
      <c r="D735" t="s">
        <v>560</v>
      </c>
      <c r="E735">
        <v>18.95</v>
      </c>
      <c r="G735">
        <v>235</v>
      </c>
      <c r="I735" t="str">
        <f>VLOOKUP(G735,Kostenstellen!$A$1:$C$17,2,0)</f>
        <v>Marketing</v>
      </c>
    </row>
    <row r="736" spans="1:9" x14ac:dyDescent="0.2">
      <c r="A736">
        <v>6425</v>
      </c>
      <c r="B736" s="7">
        <v>45747</v>
      </c>
      <c r="C736" t="s">
        <v>430</v>
      </c>
      <c r="D736" t="s">
        <v>561</v>
      </c>
      <c r="E736">
        <v>19.010000000000002</v>
      </c>
      <c r="G736">
        <v>220</v>
      </c>
      <c r="I736" t="str">
        <f>VLOOKUP(G736,Kostenstellen!$A$1:$C$17,2,0)</f>
        <v>Product</v>
      </c>
    </row>
    <row r="737" spans="1:9" x14ac:dyDescent="0.2">
      <c r="A737">
        <v>6425</v>
      </c>
      <c r="B737" s="7">
        <v>45747</v>
      </c>
      <c r="C737" t="s">
        <v>562</v>
      </c>
      <c r="D737" t="s">
        <v>563</v>
      </c>
      <c r="E737">
        <v>57.03</v>
      </c>
      <c r="G737">
        <v>220</v>
      </c>
      <c r="I737" t="str">
        <f>VLOOKUP(G737,Kostenstellen!$A$1:$C$17,2,0)</f>
        <v>Product</v>
      </c>
    </row>
    <row r="738" spans="1:9" x14ac:dyDescent="0.2">
      <c r="A738">
        <v>6425</v>
      </c>
      <c r="B738" s="7">
        <v>45747</v>
      </c>
      <c r="C738" t="s">
        <v>442</v>
      </c>
      <c r="D738" t="s">
        <v>564</v>
      </c>
      <c r="E738">
        <v>148.30000000000001</v>
      </c>
      <c r="G738">
        <v>210</v>
      </c>
      <c r="I738" t="str">
        <f>VLOOKUP(G738,Kostenstellen!$A$1:$C$17,2,0)</f>
        <v>Dev</v>
      </c>
    </row>
    <row r="739" spans="1:9" x14ac:dyDescent="0.2">
      <c r="A739">
        <v>6425</v>
      </c>
      <c r="B739" s="7">
        <v>45747</v>
      </c>
      <c r="C739" t="s">
        <v>466</v>
      </c>
      <c r="D739" t="s">
        <v>565</v>
      </c>
      <c r="E739">
        <v>16.809999999999999</v>
      </c>
      <c r="G739">
        <v>210</v>
      </c>
      <c r="I739" t="str">
        <f>VLOOKUP(G739,Kostenstellen!$A$1:$C$17,2,0)</f>
        <v>Dev</v>
      </c>
    </row>
    <row r="740" spans="1:9" x14ac:dyDescent="0.2">
      <c r="A740">
        <v>6425</v>
      </c>
      <c r="B740" s="7">
        <v>45749</v>
      </c>
      <c r="C740" t="s">
        <v>422</v>
      </c>
      <c r="D740">
        <v>110641</v>
      </c>
      <c r="E740">
        <v>150</v>
      </c>
      <c r="G740">
        <v>200</v>
      </c>
      <c r="I740" t="str">
        <f>VLOOKUP(G740,Kostenstellen!$A$1:$C$17,2,0)</f>
        <v>aqua</v>
      </c>
    </row>
    <row r="741" spans="1:9" x14ac:dyDescent="0.2">
      <c r="A741">
        <v>6425</v>
      </c>
      <c r="B741" s="7">
        <v>45749</v>
      </c>
      <c r="C741" t="s">
        <v>430</v>
      </c>
      <c r="D741" t="s">
        <v>566</v>
      </c>
      <c r="E741">
        <v>18.399999999999999</v>
      </c>
      <c r="G741">
        <v>235</v>
      </c>
      <c r="I741" t="str">
        <f>VLOOKUP(G741,Kostenstellen!$A$1:$C$17,2,0)</f>
        <v>Marketing</v>
      </c>
    </row>
    <row r="742" spans="1:9" x14ac:dyDescent="0.2">
      <c r="A742">
        <v>6425</v>
      </c>
      <c r="B742" s="7">
        <v>45749</v>
      </c>
      <c r="C742" t="s">
        <v>418</v>
      </c>
      <c r="D742" t="s">
        <v>567</v>
      </c>
      <c r="E742">
        <v>18.920000000000002</v>
      </c>
      <c r="G742">
        <v>220</v>
      </c>
      <c r="I742" t="str">
        <f>VLOOKUP(G742,Kostenstellen!$A$1:$C$17,2,0)</f>
        <v>Product</v>
      </c>
    </row>
    <row r="743" spans="1:9" x14ac:dyDescent="0.2">
      <c r="A743">
        <v>6425</v>
      </c>
      <c r="B743" s="7">
        <v>45749</v>
      </c>
      <c r="C743" t="s">
        <v>531</v>
      </c>
      <c r="D743" t="s">
        <v>568</v>
      </c>
      <c r="E743">
        <v>16.75</v>
      </c>
      <c r="G743">
        <v>230</v>
      </c>
      <c r="I743" t="str">
        <f>VLOOKUP(G743,Kostenstellen!$A$1:$C$17,2,0)</f>
        <v>Sales</v>
      </c>
    </row>
    <row r="744" spans="1:9" x14ac:dyDescent="0.2">
      <c r="A744">
        <v>6425</v>
      </c>
      <c r="B744" s="7">
        <v>45749</v>
      </c>
      <c r="C744" t="s">
        <v>420</v>
      </c>
      <c r="D744" t="s">
        <v>569</v>
      </c>
      <c r="E744">
        <v>47.3</v>
      </c>
      <c r="G744">
        <v>210</v>
      </c>
      <c r="I744" t="str">
        <f>VLOOKUP(G744,Kostenstellen!$A$1:$C$17,2,0)</f>
        <v>Dev</v>
      </c>
    </row>
    <row r="745" spans="1:9" x14ac:dyDescent="0.2">
      <c r="A745">
        <v>6425</v>
      </c>
      <c r="B745" s="7">
        <v>45750</v>
      </c>
      <c r="C745" t="s">
        <v>570</v>
      </c>
      <c r="D745" t="s">
        <v>571</v>
      </c>
      <c r="E745">
        <v>260</v>
      </c>
      <c r="G745">
        <v>230</v>
      </c>
      <c r="I745" t="str">
        <f>VLOOKUP(G745,Kostenstellen!$A$1:$C$17,2,0)</f>
        <v>Sales</v>
      </c>
    </row>
    <row r="746" spans="1:9" x14ac:dyDescent="0.2">
      <c r="A746">
        <v>6425</v>
      </c>
      <c r="B746" s="7">
        <v>45750</v>
      </c>
      <c r="C746" t="s">
        <v>470</v>
      </c>
      <c r="D746" t="s">
        <v>572</v>
      </c>
      <c r="E746">
        <v>265</v>
      </c>
      <c r="G746">
        <v>210</v>
      </c>
      <c r="I746" t="str">
        <f>VLOOKUP(G746,Kostenstellen!$A$1:$C$17,2,0)</f>
        <v>Dev</v>
      </c>
    </row>
    <row r="747" spans="1:9" x14ac:dyDescent="0.2">
      <c r="A747">
        <v>6425</v>
      </c>
      <c r="B747" s="7">
        <v>45751</v>
      </c>
      <c r="C747" t="s">
        <v>425</v>
      </c>
      <c r="D747">
        <v>145120</v>
      </c>
      <c r="E747">
        <v>23.45</v>
      </c>
      <c r="G747">
        <v>210</v>
      </c>
      <c r="I747" t="str">
        <f>VLOOKUP(G747,Kostenstellen!$A$1:$C$17,2,0)</f>
        <v>Dev</v>
      </c>
    </row>
    <row r="748" spans="1:9" x14ac:dyDescent="0.2">
      <c r="A748">
        <v>6425</v>
      </c>
      <c r="B748" s="7">
        <v>45751</v>
      </c>
      <c r="C748" t="s">
        <v>426</v>
      </c>
      <c r="D748" t="s">
        <v>573</v>
      </c>
      <c r="E748">
        <v>18.8</v>
      </c>
      <c r="G748">
        <v>220</v>
      </c>
      <c r="I748" t="str">
        <f>VLOOKUP(G748,Kostenstellen!$A$1:$C$17,2,0)</f>
        <v>Product</v>
      </c>
    </row>
    <row r="749" spans="1:9" x14ac:dyDescent="0.2">
      <c r="A749">
        <v>6425</v>
      </c>
      <c r="B749" s="7">
        <v>45751</v>
      </c>
      <c r="C749" t="s">
        <v>430</v>
      </c>
      <c r="D749" t="s">
        <v>574</v>
      </c>
      <c r="E749">
        <v>18.920000000000002</v>
      </c>
      <c r="G749">
        <v>210</v>
      </c>
      <c r="I749" t="str">
        <f>VLOOKUP(G749,Kostenstellen!$A$1:$C$17,2,0)</f>
        <v>Dev</v>
      </c>
    </row>
    <row r="750" spans="1:9" x14ac:dyDescent="0.2">
      <c r="A750">
        <v>6425</v>
      </c>
      <c r="B750" s="7">
        <v>45751</v>
      </c>
      <c r="C750" t="s">
        <v>501</v>
      </c>
      <c r="D750" t="s">
        <v>575</v>
      </c>
      <c r="E750">
        <v>9.4700000000000006</v>
      </c>
      <c r="G750">
        <v>210</v>
      </c>
      <c r="I750" t="str">
        <f>VLOOKUP(G750,Kostenstellen!$A$1:$C$17,2,0)</f>
        <v>Dev</v>
      </c>
    </row>
    <row r="751" spans="1:9" x14ac:dyDescent="0.2">
      <c r="A751">
        <v>6425</v>
      </c>
      <c r="B751" s="7">
        <v>45751</v>
      </c>
      <c r="C751" t="s">
        <v>428</v>
      </c>
      <c r="D751" t="s">
        <v>576</v>
      </c>
      <c r="E751">
        <v>74.760000000000005</v>
      </c>
      <c r="G751">
        <v>235</v>
      </c>
      <c r="I751" t="str">
        <f>VLOOKUP(G751,Kostenstellen!$A$1:$C$17,2,0)</f>
        <v>Marketing</v>
      </c>
    </row>
    <row r="752" spans="1:9" x14ac:dyDescent="0.2">
      <c r="A752">
        <v>6425</v>
      </c>
      <c r="B752" s="7">
        <v>45754</v>
      </c>
      <c r="C752" t="s">
        <v>480</v>
      </c>
      <c r="D752" t="s">
        <v>524</v>
      </c>
      <c r="E752">
        <v>90.28</v>
      </c>
      <c r="G752">
        <v>230</v>
      </c>
      <c r="I752" t="str">
        <f>VLOOKUP(G752,Kostenstellen!$A$1:$C$17,2,0)</f>
        <v>Sales</v>
      </c>
    </row>
    <row r="753" spans="1:9" x14ac:dyDescent="0.2">
      <c r="A753">
        <v>6425</v>
      </c>
      <c r="B753" s="7">
        <v>45754</v>
      </c>
      <c r="C753" t="s">
        <v>434</v>
      </c>
      <c r="D753" t="s">
        <v>577</v>
      </c>
      <c r="E753">
        <v>121.25</v>
      </c>
      <c r="G753">
        <v>220</v>
      </c>
      <c r="I753" t="str">
        <f>VLOOKUP(G753,Kostenstellen!$A$1:$C$17,2,0)</f>
        <v>Product</v>
      </c>
    </row>
    <row r="754" spans="1:9" x14ac:dyDescent="0.2">
      <c r="A754">
        <v>6425</v>
      </c>
      <c r="B754" s="7">
        <v>45755</v>
      </c>
      <c r="C754" t="s">
        <v>441</v>
      </c>
      <c r="D754">
        <v>17440069231181</v>
      </c>
      <c r="E754">
        <v>215.63</v>
      </c>
      <c r="G754">
        <v>202</v>
      </c>
      <c r="I754" t="str">
        <f>VLOOKUP(G754,Kostenstellen!$A$1:$C$17,2,0)</f>
        <v>Recruiting</v>
      </c>
    </row>
    <row r="755" spans="1:9" x14ac:dyDescent="0.2">
      <c r="A755">
        <v>6425</v>
      </c>
      <c r="B755" s="7">
        <v>45755</v>
      </c>
      <c r="C755" t="s">
        <v>562</v>
      </c>
      <c r="D755" t="s">
        <v>578</v>
      </c>
      <c r="E755">
        <v>80</v>
      </c>
      <c r="G755">
        <v>235</v>
      </c>
      <c r="I755" t="str">
        <f>VLOOKUP(G755,Kostenstellen!$A$1:$C$17,2,0)</f>
        <v>Marketing</v>
      </c>
    </row>
    <row r="756" spans="1:9" x14ac:dyDescent="0.2">
      <c r="A756">
        <v>6425</v>
      </c>
      <c r="B756" s="7">
        <v>45756</v>
      </c>
      <c r="C756" t="s">
        <v>440</v>
      </c>
      <c r="D756">
        <v>8709176</v>
      </c>
      <c r="E756">
        <v>12.14</v>
      </c>
      <c r="G756">
        <v>235</v>
      </c>
      <c r="I756" t="str">
        <f>VLOOKUP(G756,Kostenstellen!$A$1:$C$17,2,0)</f>
        <v>Marketing</v>
      </c>
    </row>
    <row r="757" spans="1:9" x14ac:dyDescent="0.2">
      <c r="A757">
        <v>6425</v>
      </c>
      <c r="B757" s="7">
        <v>45756</v>
      </c>
      <c r="C757" t="s">
        <v>579</v>
      </c>
      <c r="D757" t="s">
        <v>580</v>
      </c>
      <c r="E757">
        <v>14.07</v>
      </c>
      <c r="G757">
        <v>210</v>
      </c>
      <c r="I757" t="str">
        <f>VLOOKUP(G757,Kostenstellen!$A$1:$C$17,2,0)</f>
        <v>Dev</v>
      </c>
    </row>
    <row r="758" spans="1:9" x14ac:dyDescent="0.2">
      <c r="A758">
        <v>6425</v>
      </c>
      <c r="B758" s="7">
        <v>45756</v>
      </c>
      <c r="C758" t="s">
        <v>581</v>
      </c>
      <c r="D758" t="s">
        <v>582</v>
      </c>
      <c r="E758">
        <v>46.87</v>
      </c>
      <c r="G758">
        <v>235</v>
      </c>
      <c r="I758" t="str">
        <f>VLOOKUP(G758,Kostenstellen!$A$1:$C$17,2,0)</f>
        <v>Marketing</v>
      </c>
    </row>
    <row r="759" spans="1:9" x14ac:dyDescent="0.2">
      <c r="A759">
        <v>6425</v>
      </c>
      <c r="B759" s="7">
        <v>45757</v>
      </c>
      <c r="C759" t="s">
        <v>583</v>
      </c>
      <c r="D759" t="s">
        <v>584</v>
      </c>
      <c r="E759">
        <v>44.03</v>
      </c>
      <c r="G759">
        <v>235</v>
      </c>
      <c r="I759" t="str">
        <f>VLOOKUP(G759,Kostenstellen!$A$1:$C$17,2,0)</f>
        <v>Marketing</v>
      </c>
    </row>
    <row r="760" spans="1:9" x14ac:dyDescent="0.2">
      <c r="A760">
        <v>6425</v>
      </c>
      <c r="B760" s="7">
        <v>45757</v>
      </c>
      <c r="C760" t="s">
        <v>526</v>
      </c>
      <c r="D760" t="s">
        <v>585</v>
      </c>
      <c r="E760">
        <v>7.96</v>
      </c>
      <c r="G760">
        <v>235</v>
      </c>
      <c r="I760" t="str">
        <f>VLOOKUP(G760,Kostenstellen!$A$1:$C$17,2,0)</f>
        <v>Marketing</v>
      </c>
    </row>
    <row r="761" spans="1:9" x14ac:dyDescent="0.2">
      <c r="A761">
        <v>6425</v>
      </c>
      <c r="B761" s="7">
        <v>45758</v>
      </c>
      <c r="C761" t="s">
        <v>461</v>
      </c>
      <c r="D761" t="s">
        <v>586</v>
      </c>
      <c r="E761">
        <v>103.12</v>
      </c>
      <c r="G761">
        <v>210</v>
      </c>
      <c r="I761" t="str">
        <f>VLOOKUP(G761,Kostenstellen!$A$1:$C$17,2,0)</f>
        <v>Dev</v>
      </c>
    </row>
    <row r="762" spans="1:9" x14ac:dyDescent="0.2">
      <c r="A762">
        <v>6425</v>
      </c>
      <c r="B762" s="7">
        <v>45761</v>
      </c>
      <c r="C762" t="s">
        <v>587</v>
      </c>
      <c r="D762">
        <v>78991633309</v>
      </c>
      <c r="E762">
        <v>118.14</v>
      </c>
      <c r="G762">
        <v>230</v>
      </c>
      <c r="I762" t="str">
        <f>VLOOKUP(G762,Kostenstellen!$A$1:$C$17,2,0)</f>
        <v>Sales</v>
      </c>
    </row>
    <row r="763" spans="1:9" x14ac:dyDescent="0.2">
      <c r="A763">
        <v>6425</v>
      </c>
      <c r="B763" s="7">
        <v>45761</v>
      </c>
      <c r="C763" t="s">
        <v>444</v>
      </c>
      <c r="D763" t="s">
        <v>588</v>
      </c>
      <c r="E763">
        <v>27.95</v>
      </c>
      <c r="G763">
        <v>235</v>
      </c>
      <c r="I763" t="str">
        <f>VLOOKUP(G763,Kostenstellen!$A$1:$C$17,2,0)</f>
        <v>Marketing</v>
      </c>
    </row>
    <row r="764" spans="1:9" x14ac:dyDescent="0.2">
      <c r="A764">
        <v>6425</v>
      </c>
      <c r="B764" s="7">
        <v>45762</v>
      </c>
      <c r="C764" t="s">
        <v>589</v>
      </c>
      <c r="D764">
        <v>114348</v>
      </c>
      <c r="E764">
        <v>44.67</v>
      </c>
      <c r="G764">
        <v>230</v>
      </c>
      <c r="I764" t="str">
        <f>VLOOKUP(G764,Kostenstellen!$A$1:$C$17,2,0)</f>
        <v>Sales</v>
      </c>
    </row>
    <row r="765" spans="1:9" x14ac:dyDescent="0.2">
      <c r="A765">
        <v>6425</v>
      </c>
      <c r="B765" s="7">
        <v>45762</v>
      </c>
      <c r="C765" t="s">
        <v>590</v>
      </c>
      <c r="D765" t="s">
        <v>591</v>
      </c>
      <c r="E765">
        <v>26.44</v>
      </c>
      <c r="G765">
        <v>200</v>
      </c>
      <c r="I765" t="str">
        <f>VLOOKUP(G765,Kostenstellen!$A$1:$C$17,2,0)</f>
        <v>aqua</v>
      </c>
    </row>
    <row r="766" spans="1:9" x14ac:dyDescent="0.2">
      <c r="A766">
        <v>6425</v>
      </c>
      <c r="B766" s="7">
        <v>45763</v>
      </c>
      <c r="C766" t="s">
        <v>446</v>
      </c>
      <c r="D766" t="s">
        <v>592</v>
      </c>
      <c r="E766">
        <v>32.54</v>
      </c>
      <c r="G766">
        <v>210</v>
      </c>
      <c r="I766" t="str">
        <f>VLOOKUP(G766,Kostenstellen!$A$1:$C$17,2,0)</f>
        <v>Dev</v>
      </c>
    </row>
    <row r="767" spans="1:9" x14ac:dyDescent="0.2">
      <c r="A767">
        <v>6425</v>
      </c>
      <c r="B767" s="7">
        <v>45763</v>
      </c>
      <c r="C767" t="s">
        <v>436</v>
      </c>
      <c r="D767" t="s">
        <v>593</v>
      </c>
      <c r="E767">
        <v>125.77</v>
      </c>
      <c r="G767">
        <v>220</v>
      </c>
      <c r="I767" t="str">
        <f>VLOOKUP(G767,Kostenstellen!$A$1:$C$17,2,0)</f>
        <v>Product</v>
      </c>
    </row>
    <row r="768" spans="1:9" x14ac:dyDescent="0.2">
      <c r="A768">
        <v>6425</v>
      </c>
      <c r="B768" s="7">
        <v>45763</v>
      </c>
      <c r="C768" t="s">
        <v>535</v>
      </c>
      <c r="D768" t="s">
        <v>594</v>
      </c>
      <c r="E768">
        <v>28.56</v>
      </c>
      <c r="G768">
        <v>235</v>
      </c>
      <c r="I768" t="str">
        <f>VLOOKUP(G768,Kostenstellen!$A$1:$C$17,2,0)</f>
        <v>Marketing</v>
      </c>
    </row>
    <row r="769" spans="1:9" x14ac:dyDescent="0.2">
      <c r="A769">
        <v>6425</v>
      </c>
      <c r="B769" s="7">
        <v>45764</v>
      </c>
      <c r="C769" t="s">
        <v>595</v>
      </c>
      <c r="D769">
        <v>78193228477</v>
      </c>
      <c r="E769">
        <v>82.64</v>
      </c>
      <c r="G769">
        <v>202</v>
      </c>
      <c r="I769" t="str">
        <f>VLOOKUP(G769,Kostenstellen!$A$1:$C$17,2,0)</f>
        <v>Recruiting</v>
      </c>
    </row>
    <row r="770" spans="1:9" x14ac:dyDescent="0.2">
      <c r="A770">
        <v>6425</v>
      </c>
      <c r="B770" s="7">
        <v>45764</v>
      </c>
      <c r="C770" t="s">
        <v>522</v>
      </c>
      <c r="D770" t="s">
        <v>596</v>
      </c>
      <c r="E770">
        <v>73.930000000000007</v>
      </c>
      <c r="G770">
        <v>230</v>
      </c>
      <c r="I770" t="str">
        <f>VLOOKUP(G770,Kostenstellen!$A$1:$C$17,2,0)</f>
        <v>Sales</v>
      </c>
    </row>
    <row r="771" spans="1:9" x14ac:dyDescent="0.2">
      <c r="A771">
        <v>6425</v>
      </c>
      <c r="B771" s="7">
        <v>45769</v>
      </c>
      <c r="C771" t="s">
        <v>597</v>
      </c>
      <c r="D771" t="s">
        <v>598</v>
      </c>
      <c r="E771">
        <v>21.59</v>
      </c>
      <c r="G771">
        <v>230</v>
      </c>
      <c r="I771" t="str">
        <f>VLOOKUP(G771,Kostenstellen!$A$1:$C$17,2,0)</f>
        <v>Sales</v>
      </c>
    </row>
    <row r="772" spans="1:9" x14ac:dyDescent="0.2">
      <c r="A772">
        <v>6425</v>
      </c>
      <c r="B772" s="7">
        <v>45769</v>
      </c>
      <c r="C772" t="s">
        <v>452</v>
      </c>
      <c r="D772" t="s">
        <v>599</v>
      </c>
      <c r="E772">
        <v>18</v>
      </c>
      <c r="G772">
        <v>235</v>
      </c>
      <c r="I772" t="str">
        <f>VLOOKUP(G772,Kostenstellen!$A$1:$C$17,2,0)</f>
        <v>Marketing</v>
      </c>
    </row>
    <row r="773" spans="1:9" x14ac:dyDescent="0.2">
      <c r="A773">
        <v>6425</v>
      </c>
      <c r="B773" s="7">
        <v>45769</v>
      </c>
      <c r="C773" t="s">
        <v>449</v>
      </c>
      <c r="D773" s="8">
        <v>8.9149479999999994E-16</v>
      </c>
      <c r="E773">
        <v>14.4</v>
      </c>
      <c r="G773">
        <v>220</v>
      </c>
      <c r="I773" t="str">
        <f>VLOOKUP(G773,Kostenstellen!$A$1:$C$17,2,0)</f>
        <v>Product</v>
      </c>
    </row>
    <row r="774" spans="1:9" x14ac:dyDescent="0.2">
      <c r="A774">
        <v>6425</v>
      </c>
      <c r="B774" s="7">
        <v>45769</v>
      </c>
      <c r="C774" t="s">
        <v>493</v>
      </c>
      <c r="D774" t="s">
        <v>539</v>
      </c>
      <c r="E774">
        <v>316.06</v>
      </c>
      <c r="G774">
        <v>230</v>
      </c>
      <c r="I774" t="str">
        <f>VLOOKUP(G774,Kostenstellen!$A$1:$C$17,2,0)</f>
        <v>Sales</v>
      </c>
    </row>
    <row r="775" spans="1:9" x14ac:dyDescent="0.2">
      <c r="A775">
        <v>6425</v>
      </c>
      <c r="B775" s="7">
        <v>45769</v>
      </c>
      <c r="C775" t="s">
        <v>501</v>
      </c>
      <c r="D775" t="s">
        <v>600</v>
      </c>
      <c r="E775">
        <v>22.5</v>
      </c>
      <c r="G775">
        <v>235</v>
      </c>
      <c r="I775" t="str">
        <f>VLOOKUP(G775,Kostenstellen!$A$1:$C$17,2,0)</f>
        <v>Marketing</v>
      </c>
    </row>
    <row r="776" spans="1:9" x14ac:dyDescent="0.2">
      <c r="A776">
        <v>6425</v>
      </c>
      <c r="B776" s="7">
        <v>45769</v>
      </c>
      <c r="C776" t="s">
        <v>495</v>
      </c>
      <c r="D776" t="s">
        <v>601</v>
      </c>
      <c r="E776">
        <v>195</v>
      </c>
      <c r="G776">
        <v>230</v>
      </c>
      <c r="I776" t="str">
        <f>VLOOKUP(G776,Kostenstellen!$A$1:$C$17,2,0)</f>
        <v>Sales</v>
      </c>
    </row>
    <row r="777" spans="1:9" x14ac:dyDescent="0.2">
      <c r="A777">
        <v>6425</v>
      </c>
      <c r="B777" s="7">
        <v>45769</v>
      </c>
      <c r="C777" t="s">
        <v>491</v>
      </c>
      <c r="D777" t="s">
        <v>602</v>
      </c>
      <c r="E777">
        <v>44.38</v>
      </c>
      <c r="G777">
        <v>230</v>
      </c>
      <c r="I777" t="str">
        <f>VLOOKUP(G777,Kostenstellen!$A$1:$C$17,2,0)</f>
        <v>Sales</v>
      </c>
    </row>
    <row r="778" spans="1:9" x14ac:dyDescent="0.2">
      <c r="A778">
        <v>6425</v>
      </c>
      <c r="B778" s="7">
        <v>45771</v>
      </c>
      <c r="C778" t="s">
        <v>497</v>
      </c>
      <c r="D778" t="s">
        <v>603</v>
      </c>
      <c r="E778">
        <v>31.16</v>
      </c>
      <c r="G778">
        <v>230</v>
      </c>
      <c r="I778" t="str">
        <f>VLOOKUP(G778,Kostenstellen!$A$1:$C$17,2,0)</f>
        <v>Sales</v>
      </c>
    </row>
    <row r="779" spans="1:9" x14ac:dyDescent="0.2">
      <c r="A779">
        <v>6425</v>
      </c>
      <c r="B779" s="7">
        <v>45771</v>
      </c>
      <c r="C779" t="s">
        <v>423</v>
      </c>
      <c r="D779" t="s">
        <v>604</v>
      </c>
      <c r="E779">
        <v>17.809999999999999</v>
      </c>
      <c r="G779">
        <v>220</v>
      </c>
      <c r="I779" t="str">
        <f>VLOOKUP(G779,Kostenstellen!$A$1:$C$17,2,0)</f>
        <v>Product</v>
      </c>
    </row>
    <row r="780" spans="1:9" x14ac:dyDescent="0.2">
      <c r="A780">
        <v>6425</v>
      </c>
      <c r="B780" s="7">
        <v>45771</v>
      </c>
      <c r="C780" t="s">
        <v>452</v>
      </c>
      <c r="D780" t="s">
        <v>605</v>
      </c>
      <c r="E780">
        <v>18</v>
      </c>
      <c r="G780">
        <v>220</v>
      </c>
      <c r="I780" t="str">
        <f>VLOOKUP(G780,Kostenstellen!$A$1:$C$17,2,0)</f>
        <v>Product</v>
      </c>
    </row>
    <row r="781" spans="1:9" x14ac:dyDescent="0.2">
      <c r="A781">
        <v>6425</v>
      </c>
      <c r="B781" s="7">
        <v>45775</v>
      </c>
      <c r="C781" t="s">
        <v>442</v>
      </c>
      <c r="D781">
        <v>82947395</v>
      </c>
      <c r="E781">
        <v>9.02</v>
      </c>
      <c r="G781">
        <v>210</v>
      </c>
      <c r="I781" t="str">
        <f>VLOOKUP(G781,Kostenstellen!$A$1:$C$17,2,0)</f>
        <v>Dev</v>
      </c>
    </row>
    <row r="782" spans="1:9" x14ac:dyDescent="0.2">
      <c r="A782">
        <v>6425</v>
      </c>
      <c r="B782" s="7">
        <v>45775</v>
      </c>
      <c r="C782" t="s">
        <v>454</v>
      </c>
      <c r="D782" t="s">
        <v>606</v>
      </c>
      <c r="E782">
        <v>90.2</v>
      </c>
      <c r="G782">
        <v>210</v>
      </c>
      <c r="I782" t="str">
        <f>VLOOKUP(G782,Kostenstellen!$A$1:$C$17,2,0)</f>
        <v>Dev</v>
      </c>
    </row>
    <row r="783" spans="1:9" x14ac:dyDescent="0.2">
      <c r="A783">
        <v>6425</v>
      </c>
      <c r="B783" s="7">
        <v>45775</v>
      </c>
      <c r="C783" t="s">
        <v>537</v>
      </c>
      <c r="D783" t="s">
        <v>607</v>
      </c>
      <c r="E783">
        <v>18.03</v>
      </c>
      <c r="G783">
        <v>235</v>
      </c>
      <c r="I783" t="str">
        <f>VLOOKUP(G783,Kostenstellen!$A$1:$C$17,2,0)</f>
        <v>Marketing</v>
      </c>
    </row>
    <row r="784" spans="1:9" x14ac:dyDescent="0.2">
      <c r="A784">
        <v>6425</v>
      </c>
      <c r="B784" s="7">
        <v>45775</v>
      </c>
      <c r="C784" t="s">
        <v>456</v>
      </c>
      <c r="D784" s="8" t="s">
        <v>608</v>
      </c>
      <c r="E784">
        <v>64.91</v>
      </c>
      <c r="G784">
        <v>210</v>
      </c>
      <c r="I784" t="str">
        <f>VLOOKUP(G784,Kostenstellen!$A$1:$C$17,2,0)</f>
        <v>Dev</v>
      </c>
    </row>
    <row r="785" spans="1:9" x14ac:dyDescent="0.2">
      <c r="A785">
        <v>6425</v>
      </c>
      <c r="B785" s="7">
        <v>45775</v>
      </c>
      <c r="C785" t="s">
        <v>609</v>
      </c>
      <c r="D785" t="s">
        <v>610</v>
      </c>
      <c r="E785">
        <v>855</v>
      </c>
      <c r="G785">
        <v>200</v>
      </c>
      <c r="I785" t="str">
        <f>VLOOKUP(G785,Kostenstellen!$A$1:$C$17,2,0)</f>
        <v>aqua</v>
      </c>
    </row>
    <row r="786" spans="1:9" x14ac:dyDescent="0.2">
      <c r="A786">
        <v>6425</v>
      </c>
      <c r="B786" s="7">
        <v>45776</v>
      </c>
      <c r="C786" t="s">
        <v>430</v>
      </c>
      <c r="D786" t="s">
        <v>611</v>
      </c>
      <c r="E786">
        <v>18.010000000000002</v>
      </c>
      <c r="G786">
        <v>235</v>
      </c>
      <c r="I786" t="str">
        <f>VLOOKUP(G786,Kostenstellen!$A$1:$C$17,2,0)</f>
        <v>Marketing</v>
      </c>
    </row>
    <row r="787" spans="1:9" x14ac:dyDescent="0.2">
      <c r="A787">
        <v>6425</v>
      </c>
      <c r="B787" s="7">
        <v>45776</v>
      </c>
      <c r="C787" t="s">
        <v>430</v>
      </c>
      <c r="D787" t="s">
        <v>612</v>
      </c>
      <c r="E787">
        <v>18.03</v>
      </c>
      <c r="G787">
        <v>220</v>
      </c>
      <c r="I787" t="str">
        <f>VLOOKUP(G787,Kostenstellen!$A$1:$C$17,2,0)</f>
        <v>Product</v>
      </c>
    </row>
    <row r="788" spans="1:9" x14ac:dyDescent="0.2">
      <c r="A788">
        <v>6425</v>
      </c>
      <c r="B788" s="7">
        <v>45776</v>
      </c>
      <c r="C788" t="s">
        <v>501</v>
      </c>
      <c r="D788" t="s">
        <v>613</v>
      </c>
      <c r="E788">
        <v>18.03</v>
      </c>
      <c r="G788">
        <v>230</v>
      </c>
      <c r="I788" t="str">
        <f>VLOOKUP(G788,Kostenstellen!$A$1:$C$17,2,0)</f>
        <v>Sales</v>
      </c>
    </row>
    <row r="789" spans="1:9" x14ac:dyDescent="0.2">
      <c r="A789">
        <v>6425</v>
      </c>
      <c r="B789" s="7">
        <v>45776</v>
      </c>
      <c r="C789" t="s">
        <v>562</v>
      </c>
      <c r="D789" t="s">
        <v>614</v>
      </c>
      <c r="E789">
        <v>54.09</v>
      </c>
      <c r="G789">
        <v>220</v>
      </c>
      <c r="I789" t="str">
        <f>VLOOKUP(G789,Kostenstellen!$A$1:$C$17,2,0)</f>
        <v>Product</v>
      </c>
    </row>
    <row r="790" spans="1:9" x14ac:dyDescent="0.2">
      <c r="A790">
        <v>6425</v>
      </c>
      <c r="B790" s="7">
        <v>45777</v>
      </c>
      <c r="C790" t="s">
        <v>615</v>
      </c>
      <c r="D790" t="s">
        <v>352</v>
      </c>
      <c r="E790">
        <v>224.8</v>
      </c>
      <c r="G790">
        <v>210</v>
      </c>
      <c r="I790" t="str">
        <f>VLOOKUP(G790,Kostenstellen!$A$1:$C$17,2,0)</f>
        <v>Dev</v>
      </c>
    </row>
    <row r="791" spans="1:9" x14ac:dyDescent="0.2">
      <c r="A791">
        <v>6425</v>
      </c>
      <c r="B791" s="7">
        <v>45777</v>
      </c>
      <c r="C791" t="s">
        <v>465</v>
      </c>
      <c r="D791">
        <v>20255000001</v>
      </c>
      <c r="E791">
        <v>800</v>
      </c>
      <c r="G791">
        <v>200</v>
      </c>
      <c r="I791" t="str">
        <f>VLOOKUP(G791,Kostenstellen!$A$1:$C$17,2,0)</f>
        <v>aqua</v>
      </c>
    </row>
    <row r="792" spans="1:9" x14ac:dyDescent="0.2">
      <c r="A792">
        <v>6425</v>
      </c>
      <c r="B792" s="7">
        <v>45777</v>
      </c>
      <c r="C792" t="s">
        <v>384</v>
      </c>
      <c r="D792">
        <v>20255000001</v>
      </c>
      <c r="E792">
        <v>500</v>
      </c>
      <c r="G792">
        <v>200</v>
      </c>
      <c r="I792" t="str">
        <f>VLOOKUP(G792,Kostenstellen!$A$1:$C$17,2,0)</f>
        <v>aqua</v>
      </c>
    </row>
    <row r="793" spans="1:9" x14ac:dyDescent="0.2">
      <c r="A793">
        <v>6425</v>
      </c>
      <c r="B793" s="7">
        <v>45777</v>
      </c>
      <c r="C793" t="s">
        <v>442</v>
      </c>
      <c r="D793" t="s">
        <v>616</v>
      </c>
      <c r="E793">
        <v>446.61</v>
      </c>
      <c r="G793">
        <v>210</v>
      </c>
      <c r="I793" t="str">
        <f>VLOOKUP(G793,Kostenstellen!$A$1:$C$17,2,0)</f>
        <v>Dev</v>
      </c>
    </row>
    <row r="794" spans="1:9" x14ac:dyDescent="0.2">
      <c r="A794">
        <v>6425</v>
      </c>
      <c r="B794" s="7">
        <v>45779</v>
      </c>
      <c r="C794" t="s">
        <v>617</v>
      </c>
      <c r="D794">
        <v>134946842</v>
      </c>
      <c r="E794">
        <v>50.45</v>
      </c>
      <c r="G794">
        <v>210</v>
      </c>
      <c r="I794" t="str">
        <f>VLOOKUP(G794,Kostenstellen!$A$1:$C$17,2,0)</f>
        <v>Dev</v>
      </c>
    </row>
    <row r="795" spans="1:9" x14ac:dyDescent="0.2">
      <c r="A795">
        <v>6425</v>
      </c>
      <c r="B795" s="7">
        <v>45779</v>
      </c>
      <c r="C795" t="s">
        <v>618</v>
      </c>
      <c r="D795">
        <v>202505010437</v>
      </c>
      <c r="E795">
        <v>35.14</v>
      </c>
      <c r="G795">
        <v>230</v>
      </c>
      <c r="I795" t="str">
        <f>VLOOKUP(G795,Kostenstellen!$A$1:$C$17,2,0)</f>
        <v>Sales</v>
      </c>
    </row>
    <row r="796" spans="1:9" x14ac:dyDescent="0.2">
      <c r="A796">
        <v>6425</v>
      </c>
      <c r="B796" s="7">
        <v>45779</v>
      </c>
      <c r="C796" t="s">
        <v>552</v>
      </c>
      <c r="D796" t="s">
        <v>619</v>
      </c>
      <c r="E796">
        <v>24.04</v>
      </c>
      <c r="G796">
        <v>235</v>
      </c>
      <c r="I796" t="str">
        <f>VLOOKUP(G796,Kostenstellen!$A$1:$C$17,2,0)</f>
        <v>Marketing</v>
      </c>
    </row>
    <row r="797" spans="1:9" x14ac:dyDescent="0.2">
      <c r="A797">
        <v>6425</v>
      </c>
      <c r="B797" s="7">
        <v>45779</v>
      </c>
      <c r="C797" t="s">
        <v>430</v>
      </c>
      <c r="D797" t="s">
        <v>620</v>
      </c>
      <c r="E797">
        <v>18.399999999999999</v>
      </c>
      <c r="G797">
        <v>235</v>
      </c>
      <c r="I797" t="str">
        <f>VLOOKUP(G797,Kostenstellen!$A$1:$C$17,2,0)</f>
        <v>Marketing</v>
      </c>
    </row>
    <row r="798" spans="1:9" x14ac:dyDescent="0.2">
      <c r="A798">
        <v>6425</v>
      </c>
      <c r="B798" s="7">
        <v>45779</v>
      </c>
      <c r="C798" t="s">
        <v>621</v>
      </c>
      <c r="D798" t="s">
        <v>622</v>
      </c>
      <c r="E798">
        <v>54.05</v>
      </c>
      <c r="G798">
        <v>230</v>
      </c>
      <c r="I798" t="str">
        <f>VLOOKUP(G798,Kostenstellen!$A$1:$C$17,2,0)</f>
        <v>Sales</v>
      </c>
    </row>
    <row r="799" spans="1:9" x14ac:dyDescent="0.2">
      <c r="A799">
        <v>6425</v>
      </c>
      <c r="B799" s="7">
        <v>45779</v>
      </c>
      <c r="C799" t="s">
        <v>418</v>
      </c>
      <c r="D799" t="s">
        <v>623</v>
      </c>
      <c r="E799">
        <v>18.010000000000002</v>
      </c>
      <c r="G799">
        <v>220</v>
      </c>
      <c r="I799" t="str">
        <f>VLOOKUP(G799,Kostenstellen!$A$1:$C$17,2,0)</f>
        <v>Product</v>
      </c>
    </row>
    <row r="800" spans="1:9" x14ac:dyDescent="0.2">
      <c r="A800">
        <v>6425</v>
      </c>
      <c r="B800" s="7">
        <v>45779</v>
      </c>
      <c r="C800" t="s">
        <v>531</v>
      </c>
      <c r="D800" t="s">
        <v>624</v>
      </c>
      <c r="E800">
        <v>16.95</v>
      </c>
      <c r="G800">
        <v>230</v>
      </c>
      <c r="I800" t="str">
        <f>VLOOKUP(G800,Kostenstellen!$A$1:$C$17,2,0)</f>
        <v>Sales</v>
      </c>
    </row>
    <row r="801" spans="1:9" x14ac:dyDescent="0.2">
      <c r="A801">
        <v>6425</v>
      </c>
      <c r="B801" s="7">
        <v>45779</v>
      </c>
      <c r="C801" t="s">
        <v>466</v>
      </c>
      <c r="D801" t="s">
        <v>625</v>
      </c>
      <c r="E801">
        <v>23.22</v>
      </c>
      <c r="G801">
        <v>210</v>
      </c>
      <c r="I801" t="str">
        <f>VLOOKUP(G801,Kostenstellen!$A$1:$C$17,2,0)</f>
        <v>Dev</v>
      </c>
    </row>
    <row r="802" spans="1:9" x14ac:dyDescent="0.2">
      <c r="A802">
        <v>6425</v>
      </c>
      <c r="B802" s="7">
        <v>45779</v>
      </c>
      <c r="C802" t="s">
        <v>420</v>
      </c>
      <c r="D802" t="s">
        <v>626</v>
      </c>
      <c r="E802">
        <v>61.26</v>
      </c>
      <c r="G802">
        <v>210</v>
      </c>
      <c r="I802" t="str">
        <f>VLOOKUP(G802,Kostenstellen!$A$1:$C$17,2,0)</f>
        <v>Dev</v>
      </c>
    </row>
    <row r="803" spans="1:9" x14ac:dyDescent="0.2">
      <c r="A803">
        <v>6425</v>
      </c>
      <c r="B803" s="7">
        <v>45780</v>
      </c>
      <c r="C803" t="s">
        <v>627</v>
      </c>
      <c r="D803" t="s">
        <v>628</v>
      </c>
      <c r="E803">
        <v>260</v>
      </c>
      <c r="G803">
        <v>230</v>
      </c>
      <c r="I803" t="str">
        <f>VLOOKUP(G803,Kostenstellen!$A$1:$C$17,2,0)</f>
        <v>Sales</v>
      </c>
    </row>
    <row r="804" spans="1:9" x14ac:dyDescent="0.2">
      <c r="A804">
        <v>6425</v>
      </c>
      <c r="B804" s="7">
        <v>45782</v>
      </c>
      <c r="C804" t="s">
        <v>422</v>
      </c>
      <c r="D804">
        <v>114111</v>
      </c>
      <c r="E804">
        <v>20</v>
      </c>
      <c r="G804">
        <v>200</v>
      </c>
      <c r="I804" t="str">
        <f>VLOOKUP(G804,Kostenstellen!$A$1:$C$17,2,0)</f>
        <v>aqua</v>
      </c>
    </row>
    <row r="805" spans="1:9" x14ac:dyDescent="0.2">
      <c r="A805">
        <v>6425</v>
      </c>
      <c r="B805" s="7">
        <v>45782</v>
      </c>
      <c r="C805" t="s">
        <v>422</v>
      </c>
      <c r="D805">
        <v>115253</v>
      </c>
      <c r="E805">
        <v>150</v>
      </c>
      <c r="G805">
        <v>200</v>
      </c>
      <c r="I805" t="str">
        <f>VLOOKUP(G805,Kostenstellen!$A$1:$C$17,2,0)</f>
        <v>aqua</v>
      </c>
    </row>
    <row r="806" spans="1:9" x14ac:dyDescent="0.2">
      <c r="A806">
        <v>6425</v>
      </c>
      <c r="B806" s="7">
        <v>45782</v>
      </c>
      <c r="C806" t="s">
        <v>425</v>
      </c>
      <c r="D806">
        <v>146846</v>
      </c>
      <c r="E806">
        <v>22.57</v>
      </c>
      <c r="G806">
        <v>210</v>
      </c>
      <c r="I806" t="str">
        <f>VLOOKUP(G806,Kostenstellen!$A$1:$C$17,2,0)</f>
        <v>Dev</v>
      </c>
    </row>
    <row r="807" spans="1:9" x14ac:dyDescent="0.2">
      <c r="A807">
        <v>6425</v>
      </c>
      <c r="B807" s="7">
        <v>45782</v>
      </c>
      <c r="C807" t="s">
        <v>426</v>
      </c>
      <c r="D807" t="s">
        <v>629</v>
      </c>
      <c r="E807">
        <v>18.09</v>
      </c>
      <c r="G807">
        <v>220</v>
      </c>
      <c r="I807" t="str">
        <f>VLOOKUP(G807,Kostenstellen!$A$1:$C$17,2,0)</f>
        <v>Product</v>
      </c>
    </row>
    <row r="808" spans="1:9" x14ac:dyDescent="0.2">
      <c r="A808">
        <v>6425</v>
      </c>
      <c r="B808" s="7">
        <v>45782</v>
      </c>
      <c r="C808" t="s">
        <v>470</v>
      </c>
      <c r="D808" t="s">
        <v>630</v>
      </c>
      <c r="E808">
        <v>265</v>
      </c>
      <c r="G808">
        <v>210</v>
      </c>
      <c r="I808" t="str">
        <f>VLOOKUP(G808,Kostenstellen!$A$1:$C$17,2,0)</f>
        <v>Dev</v>
      </c>
    </row>
    <row r="809" spans="1:9" x14ac:dyDescent="0.2">
      <c r="A809">
        <v>6425</v>
      </c>
      <c r="B809" s="7">
        <v>45782</v>
      </c>
      <c r="C809" t="s">
        <v>430</v>
      </c>
      <c r="D809" t="s">
        <v>631</v>
      </c>
      <c r="E809">
        <v>18.09</v>
      </c>
      <c r="G809">
        <v>210</v>
      </c>
      <c r="I809" t="str">
        <f>VLOOKUP(G809,Kostenstellen!$A$1:$C$17,2,0)</f>
        <v>Dev</v>
      </c>
    </row>
    <row r="810" spans="1:9" x14ac:dyDescent="0.2">
      <c r="A810">
        <v>6425</v>
      </c>
      <c r="B810" s="7">
        <v>45782</v>
      </c>
      <c r="C810" t="s">
        <v>562</v>
      </c>
      <c r="D810" t="s">
        <v>632</v>
      </c>
      <c r="E810">
        <v>68.22</v>
      </c>
      <c r="G810">
        <v>235</v>
      </c>
      <c r="I810" t="str">
        <f>VLOOKUP(G810,Kostenstellen!$A$1:$C$17,2,0)</f>
        <v>Marketing</v>
      </c>
    </row>
    <row r="811" spans="1:9" x14ac:dyDescent="0.2">
      <c r="A811">
        <v>6425</v>
      </c>
      <c r="B811" s="7">
        <v>45782</v>
      </c>
      <c r="C811" t="s">
        <v>434</v>
      </c>
      <c r="D811" t="s">
        <v>633</v>
      </c>
      <c r="E811">
        <v>116.73</v>
      </c>
      <c r="G811">
        <v>220</v>
      </c>
      <c r="I811" t="str">
        <f>VLOOKUP(G811,Kostenstellen!$A$1:$C$17,2,0)</f>
        <v>Product</v>
      </c>
    </row>
    <row r="812" spans="1:9" x14ac:dyDescent="0.2">
      <c r="A812">
        <v>6425</v>
      </c>
      <c r="B812" s="7">
        <v>45782</v>
      </c>
      <c r="C812" t="s">
        <v>428</v>
      </c>
      <c r="D812" t="s">
        <v>634</v>
      </c>
      <c r="E812">
        <v>71.489999999999995</v>
      </c>
      <c r="G812">
        <v>235</v>
      </c>
      <c r="I812" t="str">
        <f>VLOOKUP(G812,Kostenstellen!$A$1:$C$17,2,0)</f>
        <v>Marketing</v>
      </c>
    </row>
    <row r="813" spans="1:9" x14ac:dyDescent="0.2">
      <c r="A813">
        <v>6425</v>
      </c>
      <c r="B813" s="7">
        <v>45784</v>
      </c>
      <c r="C813" t="s">
        <v>480</v>
      </c>
      <c r="D813" t="s">
        <v>635</v>
      </c>
      <c r="E813">
        <v>87.67</v>
      </c>
      <c r="G813">
        <v>230</v>
      </c>
      <c r="I813" t="str">
        <f>VLOOKUP(G813,Kostenstellen!$A$1:$C$17,2,0)</f>
        <v>Sales</v>
      </c>
    </row>
    <row r="814" spans="1:9" x14ac:dyDescent="0.2">
      <c r="A814">
        <v>6425</v>
      </c>
      <c r="B814" s="7">
        <v>45784</v>
      </c>
      <c r="C814" t="s">
        <v>436</v>
      </c>
      <c r="D814" t="s">
        <v>636</v>
      </c>
      <c r="E814">
        <v>108.46</v>
      </c>
      <c r="G814">
        <v>220</v>
      </c>
      <c r="I814" t="str">
        <f>VLOOKUP(G814,Kostenstellen!$A$1:$C$17,2,0)</f>
        <v>Product</v>
      </c>
    </row>
    <row r="815" spans="1:9" x14ac:dyDescent="0.2">
      <c r="A815">
        <v>6425</v>
      </c>
      <c r="B815" s="7">
        <v>45784</v>
      </c>
      <c r="C815" t="s">
        <v>637</v>
      </c>
      <c r="D815" t="s">
        <v>638</v>
      </c>
      <c r="E815">
        <v>17.18</v>
      </c>
      <c r="G815">
        <v>235</v>
      </c>
      <c r="I815" t="str">
        <f>VLOOKUP(G815,Kostenstellen!$A$1:$C$17,2,0)</f>
        <v>Marketing</v>
      </c>
    </row>
    <row r="816" spans="1:9" x14ac:dyDescent="0.2">
      <c r="A816">
        <v>6425</v>
      </c>
      <c r="B816" s="7">
        <v>45785</v>
      </c>
      <c r="C816" t="s">
        <v>441</v>
      </c>
      <c r="D816">
        <v>174660098614</v>
      </c>
      <c r="E816">
        <v>209.96</v>
      </c>
      <c r="G816">
        <v>202</v>
      </c>
      <c r="I816" t="str">
        <f>VLOOKUP(G816,Kostenstellen!$A$1:$C$17,2,0)</f>
        <v>Recruiting</v>
      </c>
    </row>
    <row r="817" spans="1:9" x14ac:dyDescent="0.2">
      <c r="A817">
        <v>6425</v>
      </c>
      <c r="B817" s="7">
        <v>45785</v>
      </c>
      <c r="C817" t="s">
        <v>639</v>
      </c>
      <c r="D817" t="s">
        <v>640</v>
      </c>
      <c r="E817">
        <v>94.05</v>
      </c>
      <c r="G817">
        <v>230</v>
      </c>
      <c r="I817" t="str">
        <f>VLOOKUP(G817,Kostenstellen!$A$1:$C$17,2,0)</f>
        <v>Sales</v>
      </c>
    </row>
    <row r="818" spans="1:9" x14ac:dyDescent="0.2">
      <c r="A818">
        <v>6425</v>
      </c>
      <c r="B818" s="7">
        <v>45785</v>
      </c>
      <c r="C818" t="s">
        <v>641</v>
      </c>
      <c r="D818" t="s">
        <v>642</v>
      </c>
      <c r="E818">
        <v>531.79999999999995</v>
      </c>
      <c r="G818">
        <v>230</v>
      </c>
      <c r="I818" t="str">
        <f>VLOOKUP(G818,Kostenstellen!$A$1:$C$17,2,0)</f>
        <v>Sales</v>
      </c>
    </row>
    <row r="819" spans="1:9" x14ac:dyDescent="0.2">
      <c r="A819">
        <v>6425</v>
      </c>
      <c r="B819" s="7">
        <v>45785</v>
      </c>
      <c r="C819" t="s">
        <v>643</v>
      </c>
      <c r="D819" t="s">
        <v>644</v>
      </c>
      <c r="E819">
        <v>4.5199999999999996</v>
      </c>
      <c r="G819">
        <v>230</v>
      </c>
      <c r="I819" t="str">
        <f>VLOOKUP(G819,Kostenstellen!$A$1:$C$17,2,0)</f>
        <v>Sales</v>
      </c>
    </row>
    <row r="820" spans="1:9" x14ac:dyDescent="0.2">
      <c r="A820">
        <v>6425</v>
      </c>
      <c r="B820" s="7">
        <v>45786</v>
      </c>
      <c r="C820" t="s">
        <v>440</v>
      </c>
      <c r="D820">
        <v>10298339</v>
      </c>
      <c r="E820">
        <v>11.67</v>
      </c>
      <c r="G820">
        <v>235</v>
      </c>
      <c r="I820" t="str">
        <f>VLOOKUP(G820,Kostenstellen!$A$1:$C$17,2,0)</f>
        <v>Marketing</v>
      </c>
    </row>
    <row r="821" spans="1:9" x14ac:dyDescent="0.2">
      <c r="A821">
        <v>6425</v>
      </c>
      <c r="B821" s="7">
        <v>45786</v>
      </c>
      <c r="C821" t="s">
        <v>579</v>
      </c>
      <c r="D821" t="s">
        <v>645</v>
      </c>
      <c r="E821">
        <v>13.52</v>
      </c>
      <c r="G821">
        <v>210</v>
      </c>
      <c r="I821" t="str">
        <f>VLOOKUP(G821,Kostenstellen!$A$1:$C$17,2,0)</f>
        <v>Dev</v>
      </c>
    </row>
    <row r="822" spans="1:9" x14ac:dyDescent="0.2">
      <c r="A822">
        <v>6425</v>
      </c>
      <c r="B822" s="7">
        <v>45786</v>
      </c>
      <c r="C822" t="s">
        <v>522</v>
      </c>
      <c r="D822" t="s">
        <v>646</v>
      </c>
      <c r="E822">
        <v>41.18</v>
      </c>
      <c r="G822">
        <v>230</v>
      </c>
      <c r="I822" t="str">
        <f>VLOOKUP(G822,Kostenstellen!$A$1:$C$17,2,0)</f>
        <v>Sales</v>
      </c>
    </row>
    <row r="823" spans="1:9" x14ac:dyDescent="0.2">
      <c r="A823">
        <v>6425</v>
      </c>
      <c r="B823" s="7">
        <v>45786</v>
      </c>
      <c r="C823" t="s">
        <v>501</v>
      </c>
      <c r="D823" t="s">
        <v>647</v>
      </c>
      <c r="E823">
        <v>27.02</v>
      </c>
      <c r="G823">
        <v>230</v>
      </c>
      <c r="I823" t="str">
        <f>VLOOKUP(G823,Kostenstellen!$A$1:$C$17,2,0)</f>
        <v>Sales</v>
      </c>
    </row>
    <row r="824" spans="1:9" x14ac:dyDescent="0.2">
      <c r="A824">
        <v>6425</v>
      </c>
      <c r="B824" s="7">
        <v>45786</v>
      </c>
      <c r="C824" t="s">
        <v>550</v>
      </c>
      <c r="D824" t="s">
        <v>648</v>
      </c>
      <c r="E824">
        <v>40.53</v>
      </c>
      <c r="G824">
        <v>230</v>
      </c>
      <c r="I824" t="str">
        <f>VLOOKUP(G824,Kostenstellen!$A$1:$C$17,2,0)</f>
        <v>Sales</v>
      </c>
    </row>
    <row r="825" spans="1:9" x14ac:dyDescent="0.2">
      <c r="A825">
        <v>6425</v>
      </c>
      <c r="B825" s="7">
        <v>45789</v>
      </c>
      <c r="C825" t="s">
        <v>649</v>
      </c>
      <c r="D825">
        <v>781100750351</v>
      </c>
      <c r="E825">
        <v>137.49</v>
      </c>
      <c r="G825">
        <v>230</v>
      </c>
      <c r="I825" t="str">
        <f>VLOOKUP(G825,Kostenstellen!$A$1:$C$17,2,0)</f>
        <v>Sales</v>
      </c>
    </row>
    <row r="826" spans="1:9" x14ac:dyDescent="0.2">
      <c r="A826">
        <v>6425</v>
      </c>
      <c r="B826" s="7">
        <v>45789</v>
      </c>
      <c r="C826" t="s">
        <v>650</v>
      </c>
      <c r="D826" t="s">
        <v>651</v>
      </c>
      <c r="E826">
        <v>6</v>
      </c>
      <c r="G826">
        <v>220</v>
      </c>
      <c r="I826" t="str">
        <f>VLOOKUP(G826,Kostenstellen!$A$1:$C$17,2,0)</f>
        <v>Product</v>
      </c>
    </row>
    <row r="827" spans="1:9" x14ac:dyDescent="0.2">
      <c r="A827">
        <v>6425</v>
      </c>
      <c r="B827" s="7">
        <v>45789</v>
      </c>
      <c r="C827" t="s">
        <v>583</v>
      </c>
      <c r="D827" t="s">
        <v>652</v>
      </c>
      <c r="E827">
        <v>42.68</v>
      </c>
      <c r="G827">
        <v>235</v>
      </c>
      <c r="I827" t="str">
        <f>VLOOKUP(G827,Kostenstellen!$A$1:$C$17,2,0)</f>
        <v>Marketing</v>
      </c>
    </row>
    <row r="828" spans="1:9" x14ac:dyDescent="0.2">
      <c r="A828">
        <v>6425</v>
      </c>
      <c r="B828" s="7">
        <v>45789</v>
      </c>
      <c r="C828" t="s">
        <v>526</v>
      </c>
      <c r="D828" t="s">
        <v>653</v>
      </c>
      <c r="E828">
        <v>7.71</v>
      </c>
      <c r="G828">
        <v>235</v>
      </c>
      <c r="I828" t="str">
        <f>VLOOKUP(G828,Kostenstellen!$A$1:$C$17,2,0)</f>
        <v>Marketing</v>
      </c>
    </row>
    <row r="829" spans="1:9" x14ac:dyDescent="0.2">
      <c r="A829">
        <v>6425</v>
      </c>
      <c r="B829" s="7">
        <v>45789</v>
      </c>
      <c r="C829" t="s">
        <v>461</v>
      </c>
      <c r="D829" t="s">
        <v>654</v>
      </c>
      <c r="E829">
        <v>123.39</v>
      </c>
      <c r="G829">
        <v>210</v>
      </c>
      <c r="I829" t="str">
        <f>VLOOKUP(G829,Kostenstellen!$A$1:$C$17,2,0)</f>
        <v>Dev</v>
      </c>
    </row>
    <row r="830" spans="1:9" x14ac:dyDescent="0.2">
      <c r="A830">
        <v>6425</v>
      </c>
      <c r="B830" s="7">
        <v>45789</v>
      </c>
      <c r="C830" t="s">
        <v>444</v>
      </c>
      <c r="D830" t="s">
        <v>655</v>
      </c>
      <c r="E830">
        <v>27.34</v>
      </c>
      <c r="G830">
        <v>235</v>
      </c>
      <c r="I830" t="str">
        <f>VLOOKUP(G830,Kostenstellen!$A$1:$C$17,2,0)</f>
        <v>Marketing</v>
      </c>
    </row>
    <row r="831" spans="1:9" x14ac:dyDescent="0.2">
      <c r="A831">
        <v>6425</v>
      </c>
      <c r="B831" s="7">
        <v>45790</v>
      </c>
      <c r="C831" t="s">
        <v>656</v>
      </c>
      <c r="D831" t="s">
        <v>657</v>
      </c>
      <c r="E831">
        <v>117.53</v>
      </c>
      <c r="G831">
        <v>210</v>
      </c>
      <c r="I831" t="str">
        <f>VLOOKUP(G831,Kostenstellen!$A$1:$C$17,2,0)</f>
        <v>Dev</v>
      </c>
    </row>
    <row r="832" spans="1:9" x14ac:dyDescent="0.2">
      <c r="A832">
        <v>6425</v>
      </c>
      <c r="B832" s="7">
        <v>45792</v>
      </c>
      <c r="C832" t="s">
        <v>589</v>
      </c>
      <c r="D832">
        <v>125596</v>
      </c>
      <c r="E832">
        <v>45.18</v>
      </c>
      <c r="G832">
        <v>230</v>
      </c>
      <c r="I832" t="str">
        <f>VLOOKUP(G832,Kostenstellen!$A$1:$C$17,2,0)</f>
        <v>Sales</v>
      </c>
    </row>
    <row r="833" spans="1:9" x14ac:dyDescent="0.2">
      <c r="A833">
        <v>6425</v>
      </c>
      <c r="B833" s="7">
        <v>45793</v>
      </c>
      <c r="C833" t="s">
        <v>446</v>
      </c>
      <c r="D833">
        <v>30644675</v>
      </c>
      <c r="E833">
        <v>32.880000000000003</v>
      </c>
      <c r="G833">
        <v>210</v>
      </c>
      <c r="I833" t="str">
        <f>VLOOKUP(G833,Kostenstellen!$A$1:$C$17,2,0)</f>
        <v>Dev</v>
      </c>
    </row>
    <row r="834" spans="1:9" x14ac:dyDescent="0.2">
      <c r="A834">
        <v>6425</v>
      </c>
      <c r="B834" s="7">
        <v>45793</v>
      </c>
      <c r="C834" t="s">
        <v>535</v>
      </c>
      <c r="D834" t="s">
        <v>658</v>
      </c>
      <c r="E834">
        <v>28.56</v>
      </c>
      <c r="G834">
        <v>235</v>
      </c>
      <c r="I834" t="str">
        <f>VLOOKUP(G834,Kostenstellen!$A$1:$C$17,2,0)</f>
        <v>Marketing</v>
      </c>
    </row>
    <row r="835" spans="1:9" x14ac:dyDescent="0.2">
      <c r="A835">
        <v>6425</v>
      </c>
      <c r="B835" s="7">
        <v>45796</v>
      </c>
      <c r="C835" t="s">
        <v>659</v>
      </c>
      <c r="D835">
        <v>781102615931</v>
      </c>
      <c r="E835">
        <v>82.64</v>
      </c>
      <c r="G835">
        <v>202</v>
      </c>
      <c r="I835" t="str">
        <f>VLOOKUP(G835,Kostenstellen!$A$1:$C$17,2,0)</f>
        <v>Recruiting</v>
      </c>
    </row>
    <row r="836" spans="1:9" x14ac:dyDescent="0.2">
      <c r="A836">
        <v>6425</v>
      </c>
      <c r="B836" s="7">
        <v>45796</v>
      </c>
      <c r="C836" t="s">
        <v>449</v>
      </c>
      <c r="D836" s="8">
        <v>8.9149479999999999E-17</v>
      </c>
      <c r="E836">
        <v>14.66</v>
      </c>
      <c r="G836">
        <v>220</v>
      </c>
      <c r="I836" t="str">
        <f>VLOOKUP(G836,Kostenstellen!$A$1:$C$17,2,0)</f>
        <v>Product</v>
      </c>
    </row>
    <row r="837" spans="1:9" x14ac:dyDescent="0.2">
      <c r="A837">
        <v>6425</v>
      </c>
      <c r="B837" s="7">
        <v>45796</v>
      </c>
      <c r="C837" t="s">
        <v>495</v>
      </c>
      <c r="D837" t="s">
        <v>660</v>
      </c>
      <c r="E837">
        <v>256.13</v>
      </c>
      <c r="G837">
        <v>230</v>
      </c>
      <c r="I837" t="str">
        <f>VLOOKUP(G837,Kostenstellen!$A$1:$C$17,2,0)</f>
        <v>Sales</v>
      </c>
    </row>
    <row r="838" spans="1:9" x14ac:dyDescent="0.2">
      <c r="A838">
        <v>6425</v>
      </c>
      <c r="B838" s="7">
        <v>45796</v>
      </c>
      <c r="C838" t="s">
        <v>491</v>
      </c>
      <c r="D838" t="s">
        <v>661</v>
      </c>
      <c r="E838">
        <v>44.88</v>
      </c>
      <c r="G838">
        <v>230</v>
      </c>
      <c r="I838" t="str">
        <f>VLOOKUP(G838,Kostenstellen!$A$1:$C$17,2,0)</f>
        <v>Sales</v>
      </c>
    </row>
    <row r="839" spans="1:9" x14ac:dyDescent="0.2">
      <c r="A839">
        <v>6425</v>
      </c>
      <c r="B839" s="7">
        <v>45798</v>
      </c>
      <c r="C839" t="s">
        <v>452</v>
      </c>
      <c r="D839" t="s">
        <v>662</v>
      </c>
      <c r="E839">
        <v>18</v>
      </c>
      <c r="G839">
        <v>220</v>
      </c>
      <c r="I839" t="str">
        <f>VLOOKUP(G839,Kostenstellen!$A$1:$C$17,2,0)</f>
        <v>Product</v>
      </c>
    </row>
    <row r="840" spans="1:9" x14ac:dyDescent="0.2">
      <c r="A840">
        <v>6425</v>
      </c>
      <c r="B840" s="7">
        <v>45803</v>
      </c>
      <c r="C840" t="s">
        <v>454</v>
      </c>
      <c r="D840" t="s">
        <v>663</v>
      </c>
      <c r="E840">
        <v>90.65</v>
      </c>
      <c r="G840">
        <v>210</v>
      </c>
      <c r="I840" t="str">
        <f>VLOOKUP(G840,Kostenstellen!$A$1:$C$17,2,0)</f>
        <v>Dev</v>
      </c>
    </row>
    <row r="841" spans="1:9" x14ac:dyDescent="0.2">
      <c r="A841">
        <v>6425</v>
      </c>
      <c r="B841" s="7">
        <v>45803</v>
      </c>
      <c r="C841" t="s">
        <v>423</v>
      </c>
      <c r="D841" t="s">
        <v>664</v>
      </c>
      <c r="E841">
        <v>18.12</v>
      </c>
      <c r="G841">
        <v>220</v>
      </c>
      <c r="I841" t="str">
        <f>VLOOKUP(G841,Kostenstellen!$A$1:$C$17,2,0)</f>
        <v>Product</v>
      </c>
    </row>
    <row r="842" spans="1:9" x14ac:dyDescent="0.2">
      <c r="A842">
        <v>6425</v>
      </c>
      <c r="B842" s="7">
        <v>45803</v>
      </c>
      <c r="C842" t="s">
        <v>452</v>
      </c>
      <c r="D842" t="s">
        <v>665</v>
      </c>
      <c r="E842">
        <v>89.97</v>
      </c>
      <c r="G842">
        <v>200</v>
      </c>
      <c r="I842" t="str">
        <f>VLOOKUP(G842,Kostenstellen!$A$1:$C$17,2,0)</f>
        <v>aqua</v>
      </c>
    </row>
    <row r="843" spans="1:9" x14ac:dyDescent="0.2">
      <c r="A843">
        <v>6425</v>
      </c>
      <c r="B843" s="7">
        <v>45804</v>
      </c>
      <c r="C843" t="s">
        <v>456</v>
      </c>
      <c r="D843" s="8" t="s">
        <v>666</v>
      </c>
      <c r="E843">
        <v>65.260000000000005</v>
      </c>
      <c r="G843">
        <v>210</v>
      </c>
      <c r="I843" t="str">
        <f>VLOOKUP(G843,Kostenstellen!$A$1:$C$17,2,0)</f>
        <v>Dev</v>
      </c>
    </row>
    <row r="844" spans="1:9" x14ac:dyDescent="0.2">
      <c r="A844">
        <v>6425</v>
      </c>
      <c r="B844" s="7">
        <v>45805</v>
      </c>
      <c r="C844" t="s">
        <v>537</v>
      </c>
      <c r="D844" t="s">
        <v>667</v>
      </c>
      <c r="E844">
        <v>17.96</v>
      </c>
      <c r="G844">
        <v>235</v>
      </c>
      <c r="I844" t="str">
        <f>VLOOKUP(G844,Kostenstellen!$A$1:$C$17,2,0)</f>
        <v>Marketing</v>
      </c>
    </row>
    <row r="845" spans="1:9" x14ac:dyDescent="0.2">
      <c r="A845">
        <v>6425</v>
      </c>
      <c r="B845" s="7">
        <v>45805</v>
      </c>
      <c r="C845" t="s">
        <v>442</v>
      </c>
      <c r="D845" t="s">
        <v>668</v>
      </c>
      <c r="E845">
        <v>8.99</v>
      </c>
      <c r="G845">
        <v>210</v>
      </c>
      <c r="I845" t="str">
        <f>VLOOKUP(G845,Kostenstellen!$A$1:$C$17,2,0)</f>
        <v>Dev</v>
      </c>
    </row>
    <row r="846" spans="1:9" x14ac:dyDescent="0.2">
      <c r="A846">
        <v>6425</v>
      </c>
      <c r="B846" s="7">
        <v>45805</v>
      </c>
      <c r="C846" t="s">
        <v>669</v>
      </c>
      <c r="D846" t="s">
        <v>670</v>
      </c>
      <c r="E846">
        <v>855</v>
      </c>
      <c r="G846">
        <v>200</v>
      </c>
      <c r="I846" t="str">
        <f>VLOOKUP(G846,Kostenstellen!$A$1:$C$17,2,0)</f>
        <v>aqua</v>
      </c>
    </row>
    <row r="847" spans="1:9" x14ac:dyDescent="0.2">
      <c r="A847">
        <v>6425</v>
      </c>
      <c r="B847" s="7">
        <v>45806</v>
      </c>
      <c r="C847" t="s">
        <v>430</v>
      </c>
      <c r="D847" t="s">
        <v>671</v>
      </c>
      <c r="E847">
        <v>18.02</v>
      </c>
      <c r="G847">
        <v>220</v>
      </c>
      <c r="I847" t="str">
        <f>VLOOKUP(G847,Kostenstellen!$A$1:$C$17,2,0)</f>
        <v>Product</v>
      </c>
    </row>
    <row r="848" spans="1:9" x14ac:dyDescent="0.2">
      <c r="A848">
        <v>6425</v>
      </c>
      <c r="B848" s="7">
        <v>45806</v>
      </c>
      <c r="C848" t="s">
        <v>430</v>
      </c>
      <c r="D848" t="s">
        <v>672</v>
      </c>
      <c r="E848">
        <v>18.079999999999998</v>
      </c>
      <c r="G848">
        <v>235</v>
      </c>
      <c r="I848" t="str">
        <f>VLOOKUP(G848,Kostenstellen!$A$1:$C$17,2,0)</f>
        <v>Marketing</v>
      </c>
    </row>
    <row r="849" spans="1:9" x14ac:dyDescent="0.2">
      <c r="A849">
        <v>6425</v>
      </c>
      <c r="B849" s="7">
        <v>45806</v>
      </c>
      <c r="C849" t="s">
        <v>562</v>
      </c>
      <c r="D849" t="s">
        <v>673</v>
      </c>
      <c r="E849">
        <v>54.06</v>
      </c>
      <c r="G849">
        <v>220</v>
      </c>
      <c r="I849" t="str">
        <f>VLOOKUP(G849,Kostenstellen!$A$1:$C$17,2,0)</f>
        <v>Product</v>
      </c>
    </row>
    <row r="850" spans="1:9" x14ac:dyDescent="0.2">
      <c r="A850">
        <v>6425</v>
      </c>
      <c r="B850" s="7">
        <v>45807</v>
      </c>
      <c r="C850" t="s">
        <v>442</v>
      </c>
      <c r="D850" t="s">
        <v>674</v>
      </c>
      <c r="E850">
        <v>507.17</v>
      </c>
      <c r="G850">
        <v>210</v>
      </c>
      <c r="I850" t="str">
        <f>VLOOKUP(G850,Kostenstellen!$A$1:$C$17,2,0)</f>
        <v>Dev</v>
      </c>
    </row>
    <row r="851" spans="1:9" x14ac:dyDescent="0.2">
      <c r="A851">
        <v>6425</v>
      </c>
      <c r="B851" s="7">
        <v>45808</v>
      </c>
      <c r="C851" t="s">
        <v>615</v>
      </c>
      <c r="D851" t="s">
        <v>352</v>
      </c>
      <c r="E851">
        <v>224.8</v>
      </c>
      <c r="G851">
        <v>210</v>
      </c>
      <c r="I851" t="str">
        <f>VLOOKUP(G851,Kostenstellen!$A$1:$C$17,2,0)</f>
        <v>Dev</v>
      </c>
    </row>
    <row r="852" spans="1:9" x14ac:dyDescent="0.2">
      <c r="A852">
        <v>6425</v>
      </c>
      <c r="B852" s="7">
        <v>45808</v>
      </c>
      <c r="C852" t="s">
        <v>465</v>
      </c>
      <c r="D852">
        <v>20255000001</v>
      </c>
      <c r="E852">
        <v>800</v>
      </c>
      <c r="G852">
        <v>200</v>
      </c>
      <c r="I852" t="str">
        <f>VLOOKUP(G852,Kostenstellen!$A$1:$C$17,2,0)</f>
        <v>aqua</v>
      </c>
    </row>
    <row r="853" spans="1:9" x14ac:dyDescent="0.2">
      <c r="A853">
        <v>6425</v>
      </c>
      <c r="B853" s="7">
        <v>45810</v>
      </c>
      <c r="C853" t="s">
        <v>675</v>
      </c>
      <c r="D853">
        <v>5263532557</v>
      </c>
      <c r="E853">
        <v>24.3</v>
      </c>
      <c r="G853">
        <v>230</v>
      </c>
      <c r="I853" t="str">
        <f>VLOOKUP(G853,Kostenstellen!$A$1:$C$17,2,0)</f>
        <v>Sales</v>
      </c>
    </row>
    <row r="854" spans="1:9" x14ac:dyDescent="0.2">
      <c r="A854">
        <v>6425</v>
      </c>
      <c r="B854" s="7">
        <v>45810</v>
      </c>
      <c r="C854" t="s">
        <v>676</v>
      </c>
      <c r="D854">
        <v>5263532557</v>
      </c>
      <c r="E854">
        <v>23.87</v>
      </c>
      <c r="G854">
        <v>230</v>
      </c>
      <c r="I854" t="str">
        <f>VLOOKUP(G854,Kostenstellen!$A$1:$C$17,2,0)</f>
        <v>Sales</v>
      </c>
    </row>
    <row r="855" spans="1:9" x14ac:dyDescent="0.2">
      <c r="A855">
        <v>6425</v>
      </c>
      <c r="B855" s="7">
        <v>45810</v>
      </c>
      <c r="C855" t="s">
        <v>677</v>
      </c>
      <c r="D855">
        <v>5268094098</v>
      </c>
      <c r="E855">
        <v>24.3</v>
      </c>
      <c r="G855">
        <v>230</v>
      </c>
      <c r="I855" t="str">
        <f>VLOOKUP(G855,Kostenstellen!$A$1:$C$17,2,0)</f>
        <v>Sales</v>
      </c>
    </row>
    <row r="856" spans="1:9" x14ac:dyDescent="0.2">
      <c r="A856">
        <v>6425</v>
      </c>
      <c r="B856" s="7">
        <v>45810</v>
      </c>
      <c r="C856" t="s">
        <v>678</v>
      </c>
      <c r="D856">
        <v>202506010290</v>
      </c>
      <c r="E856">
        <v>35.17</v>
      </c>
      <c r="G856">
        <v>230</v>
      </c>
      <c r="I856" t="str">
        <f>VLOOKUP(G856,Kostenstellen!$A$1:$C$17,2,0)</f>
        <v>Sales</v>
      </c>
    </row>
    <row r="857" spans="1:9" x14ac:dyDescent="0.2">
      <c r="A857">
        <v>6425</v>
      </c>
      <c r="B857" s="7">
        <v>45810</v>
      </c>
      <c r="C857" t="s">
        <v>430</v>
      </c>
      <c r="D857" t="s">
        <v>679</v>
      </c>
      <c r="E857">
        <v>18.399999999999999</v>
      </c>
      <c r="G857">
        <v>235</v>
      </c>
      <c r="I857" t="str">
        <f>VLOOKUP(G857,Kostenstellen!$A$1:$C$17,2,0)</f>
        <v>Marketing</v>
      </c>
    </row>
    <row r="858" spans="1:9" x14ac:dyDescent="0.2">
      <c r="A858">
        <v>6425</v>
      </c>
      <c r="B858" s="7">
        <v>45810</v>
      </c>
      <c r="C858" t="s">
        <v>621</v>
      </c>
      <c r="D858" t="s">
        <v>680</v>
      </c>
      <c r="E858">
        <v>54.09</v>
      </c>
      <c r="G858">
        <v>230</v>
      </c>
      <c r="I858" t="str">
        <f>VLOOKUP(G858,Kostenstellen!$A$1:$C$17,2,0)</f>
        <v>Sales</v>
      </c>
    </row>
    <row r="859" spans="1:9" x14ac:dyDescent="0.2">
      <c r="A859">
        <v>6425</v>
      </c>
      <c r="B859" s="7">
        <v>45810</v>
      </c>
      <c r="C859" t="s">
        <v>418</v>
      </c>
      <c r="D859" t="s">
        <v>681</v>
      </c>
      <c r="E859">
        <v>18.03</v>
      </c>
      <c r="G859">
        <v>220</v>
      </c>
      <c r="I859" t="str">
        <f>VLOOKUP(G859,Kostenstellen!$A$1:$C$17,2,0)</f>
        <v>Product</v>
      </c>
    </row>
    <row r="860" spans="1:9" x14ac:dyDescent="0.2">
      <c r="A860">
        <v>6425</v>
      </c>
      <c r="B860" s="7">
        <v>45810</v>
      </c>
      <c r="C860" t="s">
        <v>466</v>
      </c>
      <c r="D860" t="s">
        <v>682</v>
      </c>
      <c r="E860">
        <v>25.14</v>
      </c>
      <c r="G860">
        <v>210</v>
      </c>
      <c r="I860" t="str">
        <f>VLOOKUP(G860,Kostenstellen!$A$1:$C$17,2,0)</f>
        <v>Dev</v>
      </c>
    </row>
    <row r="861" spans="1:9" x14ac:dyDescent="0.2">
      <c r="A861">
        <v>6425</v>
      </c>
      <c r="B861" s="7">
        <v>45810</v>
      </c>
      <c r="C861" t="s">
        <v>683</v>
      </c>
      <c r="D861" t="s">
        <v>684</v>
      </c>
      <c r="E861" s="6">
        <v>6335.81</v>
      </c>
      <c r="G861">
        <v>210</v>
      </c>
      <c r="I861" t="str">
        <f>VLOOKUP(G861,Kostenstellen!$A$1:$C$17,2,0)</f>
        <v>Dev</v>
      </c>
    </row>
    <row r="862" spans="1:9" x14ac:dyDescent="0.2">
      <c r="A862">
        <v>6425</v>
      </c>
      <c r="B862" s="7">
        <v>45811</v>
      </c>
      <c r="C862" t="s">
        <v>422</v>
      </c>
      <c r="D862">
        <v>119769</v>
      </c>
      <c r="E862">
        <v>150</v>
      </c>
      <c r="G862">
        <v>200</v>
      </c>
      <c r="I862" t="str">
        <f>VLOOKUP(G862,Kostenstellen!$A$1:$C$17,2,0)</f>
        <v>aqua</v>
      </c>
    </row>
    <row r="863" spans="1:9" x14ac:dyDescent="0.2">
      <c r="A863">
        <v>6425</v>
      </c>
      <c r="B863" s="7">
        <v>45811</v>
      </c>
      <c r="C863" t="s">
        <v>685</v>
      </c>
      <c r="D863" t="s">
        <v>686</v>
      </c>
      <c r="E863">
        <v>260</v>
      </c>
      <c r="G863">
        <v>230</v>
      </c>
      <c r="I863" t="str">
        <f>VLOOKUP(G863,Kostenstellen!$A$1:$C$17,2,0)</f>
        <v>Sales</v>
      </c>
    </row>
    <row r="864" spans="1:9" x14ac:dyDescent="0.2">
      <c r="A864">
        <v>6425</v>
      </c>
      <c r="B864" s="7">
        <v>45811</v>
      </c>
      <c r="C864" t="s">
        <v>470</v>
      </c>
      <c r="D864" t="s">
        <v>687</v>
      </c>
      <c r="E864">
        <v>540</v>
      </c>
      <c r="G864">
        <v>210</v>
      </c>
      <c r="I864" t="str">
        <f>VLOOKUP(G864,Kostenstellen!$A$1:$C$17,2,0)</f>
        <v>Dev</v>
      </c>
    </row>
    <row r="865" spans="1:9" x14ac:dyDescent="0.2">
      <c r="A865">
        <v>6425</v>
      </c>
      <c r="B865" s="7">
        <v>45811</v>
      </c>
      <c r="C865" t="s">
        <v>531</v>
      </c>
      <c r="D865" t="s">
        <v>688</v>
      </c>
      <c r="E865">
        <v>9.5500000000000007</v>
      </c>
      <c r="G865">
        <v>230</v>
      </c>
      <c r="I865" t="str">
        <f>VLOOKUP(G865,Kostenstellen!$A$1:$C$17,2,0)</f>
        <v>Sales</v>
      </c>
    </row>
    <row r="866" spans="1:9" x14ac:dyDescent="0.2">
      <c r="A866">
        <v>6425</v>
      </c>
      <c r="B866" s="7">
        <v>45812</v>
      </c>
      <c r="C866" t="s">
        <v>425</v>
      </c>
      <c r="D866">
        <v>148979</v>
      </c>
      <c r="E866">
        <v>22.4</v>
      </c>
      <c r="G866">
        <v>210</v>
      </c>
      <c r="I866" t="str">
        <f>VLOOKUP(G866,Kostenstellen!$A$1:$C$17,2,0)</f>
        <v>Dev</v>
      </c>
    </row>
    <row r="867" spans="1:9" x14ac:dyDescent="0.2">
      <c r="A867">
        <v>6425</v>
      </c>
      <c r="B867" s="7">
        <v>45812</v>
      </c>
      <c r="C867" t="s">
        <v>426</v>
      </c>
      <c r="D867" t="s">
        <v>689</v>
      </c>
      <c r="E867">
        <v>17.95</v>
      </c>
      <c r="G867">
        <v>220</v>
      </c>
      <c r="I867" t="str">
        <f>VLOOKUP(G867,Kostenstellen!$A$1:$C$17,2,0)</f>
        <v>Product</v>
      </c>
    </row>
    <row r="868" spans="1:9" x14ac:dyDescent="0.2">
      <c r="A868">
        <v>6425</v>
      </c>
      <c r="B868" s="7">
        <v>45812</v>
      </c>
      <c r="C868" t="s">
        <v>430</v>
      </c>
      <c r="D868" t="s">
        <v>690</v>
      </c>
      <c r="E868">
        <v>17.989999999999998</v>
      </c>
      <c r="G868">
        <v>210</v>
      </c>
      <c r="I868" t="str">
        <f>VLOOKUP(G868,Kostenstellen!$A$1:$C$17,2,0)</f>
        <v>Dev</v>
      </c>
    </row>
    <row r="869" spans="1:9" x14ac:dyDescent="0.2">
      <c r="A869">
        <v>6425</v>
      </c>
      <c r="B869" s="7">
        <v>45812</v>
      </c>
      <c r="C869" t="s">
        <v>428</v>
      </c>
      <c r="D869" t="s">
        <v>691</v>
      </c>
      <c r="E869">
        <v>71.05</v>
      </c>
      <c r="G869">
        <v>235</v>
      </c>
      <c r="I869" t="str">
        <f>VLOOKUP(G869,Kostenstellen!$A$1:$C$17,2,0)</f>
        <v>Marketing</v>
      </c>
    </row>
    <row r="870" spans="1:9" x14ac:dyDescent="0.2">
      <c r="A870">
        <v>6425</v>
      </c>
      <c r="B870" s="7">
        <v>45813</v>
      </c>
      <c r="C870" t="s">
        <v>562</v>
      </c>
      <c r="D870" t="s">
        <v>692</v>
      </c>
      <c r="E870">
        <v>47.6</v>
      </c>
      <c r="G870">
        <v>235</v>
      </c>
      <c r="I870" t="str">
        <f>VLOOKUP(G870,Kostenstellen!$A$1:$C$17,2,0)</f>
        <v>Marketing</v>
      </c>
    </row>
    <row r="871" spans="1:9" x14ac:dyDescent="0.2">
      <c r="A871">
        <v>6425</v>
      </c>
      <c r="B871" s="7">
        <v>45813</v>
      </c>
      <c r="C871" t="s">
        <v>434</v>
      </c>
      <c r="D871" t="s">
        <v>693</v>
      </c>
      <c r="E871">
        <v>115.81</v>
      </c>
      <c r="G871">
        <v>200</v>
      </c>
      <c r="I871" t="str">
        <f>VLOOKUP(G871,Kostenstellen!$A$1:$C$17,2,0)</f>
        <v>aqua</v>
      </c>
    </row>
    <row r="872" spans="1:9" x14ac:dyDescent="0.2">
      <c r="A872">
        <v>6425</v>
      </c>
      <c r="B872" s="7">
        <v>45814</v>
      </c>
      <c r="C872" t="s">
        <v>637</v>
      </c>
      <c r="D872" t="s">
        <v>638</v>
      </c>
      <c r="E872">
        <v>16.989999999999998</v>
      </c>
      <c r="G872">
        <v>235</v>
      </c>
      <c r="I872" t="str">
        <f>VLOOKUP(G872,Kostenstellen!$A$1:$C$17,2,0)</f>
        <v>Marketing</v>
      </c>
    </row>
    <row r="873" spans="1:9" x14ac:dyDescent="0.2">
      <c r="A873">
        <v>6425</v>
      </c>
      <c r="B873" s="7">
        <v>45817</v>
      </c>
      <c r="C873" t="s">
        <v>440</v>
      </c>
      <c r="D873">
        <v>11479856</v>
      </c>
      <c r="E873">
        <v>11.62</v>
      </c>
      <c r="G873">
        <v>235</v>
      </c>
      <c r="I873" t="str">
        <f>VLOOKUP(G873,Kostenstellen!$A$1:$C$17,2,0)</f>
        <v>Marketing</v>
      </c>
    </row>
    <row r="874" spans="1:9" x14ac:dyDescent="0.2">
      <c r="A874">
        <v>6425</v>
      </c>
      <c r="B874" s="7">
        <v>45817</v>
      </c>
      <c r="C874" t="s">
        <v>552</v>
      </c>
      <c r="D874" t="s">
        <v>694</v>
      </c>
      <c r="E874">
        <v>19.25</v>
      </c>
      <c r="G874">
        <v>235</v>
      </c>
      <c r="I874" t="str">
        <f>VLOOKUP(G874,Kostenstellen!$A$1:$C$17,2,0)</f>
        <v>Marketing</v>
      </c>
    </row>
    <row r="875" spans="1:9" x14ac:dyDescent="0.2">
      <c r="A875">
        <v>6425</v>
      </c>
      <c r="B875" s="7">
        <v>45817</v>
      </c>
      <c r="C875" t="s">
        <v>480</v>
      </c>
      <c r="D875" t="s">
        <v>635</v>
      </c>
      <c r="E875">
        <v>86.77</v>
      </c>
      <c r="G875">
        <v>230</v>
      </c>
      <c r="I875" t="str">
        <f>VLOOKUP(G875,Kostenstellen!$A$1:$C$17,2,0)</f>
        <v>Sales</v>
      </c>
    </row>
    <row r="876" spans="1:9" x14ac:dyDescent="0.2">
      <c r="A876">
        <v>6425</v>
      </c>
      <c r="B876" s="7">
        <v>45817</v>
      </c>
      <c r="C876" t="s">
        <v>579</v>
      </c>
      <c r="D876" t="s">
        <v>695</v>
      </c>
      <c r="E876">
        <v>13.45</v>
      </c>
      <c r="G876">
        <v>210</v>
      </c>
      <c r="I876" t="str">
        <f>VLOOKUP(G876,Kostenstellen!$A$1:$C$17,2,0)</f>
        <v>Dev</v>
      </c>
    </row>
    <row r="877" spans="1:9" x14ac:dyDescent="0.2">
      <c r="A877">
        <v>6425</v>
      </c>
      <c r="B877" s="7">
        <v>45817</v>
      </c>
      <c r="C877" t="s">
        <v>436</v>
      </c>
      <c r="D877" t="s">
        <v>696</v>
      </c>
      <c r="E877">
        <v>107.34</v>
      </c>
      <c r="G877">
        <v>220</v>
      </c>
      <c r="I877" t="str">
        <f>VLOOKUP(G877,Kostenstellen!$A$1:$C$17,2,0)</f>
        <v>Product</v>
      </c>
    </row>
    <row r="878" spans="1:9" x14ac:dyDescent="0.2">
      <c r="A878">
        <v>6425</v>
      </c>
      <c r="B878" s="7">
        <v>45817</v>
      </c>
      <c r="C878" t="s">
        <v>452</v>
      </c>
      <c r="D878" t="s">
        <v>697</v>
      </c>
      <c r="E878">
        <v>130.27000000000001</v>
      </c>
      <c r="G878">
        <v>200</v>
      </c>
      <c r="I878" t="str">
        <f>VLOOKUP(G878,Kostenstellen!$A$1:$C$17,2,0)</f>
        <v>aqua</v>
      </c>
    </row>
    <row r="879" spans="1:9" x14ac:dyDescent="0.2">
      <c r="A879">
        <v>6425</v>
      </c>
      <c r="B879" s="7">
        <v>45817</v>
      </c>
      <c r="C879" t="s">
        <v>501</v>
      </c>
      <c r="D879" t="s">
        <v>698</v>
      </c>
      <c r="E879">
        <v>22.36</v>
      </c>
      <c r="G879">
        <v>235</v>
      </c>
      <c r="I879" t="str">
        <f>VLOOKUP(G879,Kostenstellen!$A$1:$C$17,2,0)</f>
        <v>Marketing</v>
      </c>
    </row>
    <row r="880" spans="1:9" x14ac:dyDescent="0.2">
      <c r="A880">
        <v>6425</v>
      </c>
      <c r="B880" s="7">
        <v>45817</v>
      </c>
      <c r="C880" t="s">
        <v>699</v>
      </c>
      <c r="D880" t="s">
        <v>700</v>
      </c>
      <c r="E880">
        <v>114.89</v>
      </c>
      <c r="G880">
        <v>210</v>
      </c>
      <c r="I880" t="str">
        <f>VLOOKUP(G880,Kostenstellen!$A$1:$C$17,2,0)</f>
        <v>Dev</v>
      </c>
    </row>
    <row r="881" spans="1:9" x14ac:dyDescent="0.2">
      <c r="A881">
        <v>6425</v>
      </c>
      <c r="B881" s="7">
        <v>45817</v>
      </c>
      <c r="C881" t="s">
        <v>643</v>
      </c>
      <c r="D881" t="s">
        <v>701</v>
      </c>
      <c r="E881">
        <v>3.58</v>
      </c>
      <c r="G881">
        <v>230</v>
      </c>
      <c r="I881" t="str">
        <f>VLOOKUP(G881,Kostenstellen!$A$1:$C$17,2,0)</f>
        <v>Sales</v>
      </c>
    </row>
    <row r="882" spans="1:9" x14ac:dyDescent="0.2">
      <c r="A882">
        <v>6425</v>
      </c>
      <c r="B882" s="7">
        <v>45818</v>
      </c>
      <c r="C882" t="s">
        <v>702</v>
      </c>
      <c r="D882" t="s">
        <v>703</v>
      </c>
      <c r="E882">
        <v>4.3</v>
      </c>
      <c r="G882">
        <v>220</v>
      </c>
      <c r="I882" t="str">
        <f>VLOOKUP(G882,Kostenstellen!$A$1:$C$17,2,0)</f>
        <v>Product</v>
      </c>
    </row>
    <row r="883" spans="1:9" x14ac:dyDescent="0.2">
      <c r="A883">
        <v>6425</v>
      </c>
      <c r="B883" s="7">
        <v>45818</v>
      </c>
      <c r="C883" t="s">
        <v>583</v>
      </c>
      <c r="D883" t="s">
        <v>704</v>
      </c>
      <c r="E883">
        <v>42.17</v>
      </c>
      <c r="G883">
        <v>235</v>
      </c>
      <c r="I883" t="str">
        <f>VLOOKUP(G883,Kostenstellen!$A$1:$C$17,2,0)</f>
        <v>Marketing</v>
      </c>
    </row>
    <row r="884" spans="1:9" x14ac:dyDescent="0.2">
      <c r="A884">
        <v>6425</v>
      </c>
      <c r="B884" s="7">
        <v>45818</v>
      </c>
      <c r="C884" t="s">
        <v>526</v>
      </c>
      <c r="D884" t="s">
        <v>705</v>
      </c>
      <c r="E884">
        <v>7.61</v>
      </c>
      <c r="G884">
        <v>235</v>
      </c>
      <c r="I884" t="str">
        <f>VLOOKUP(G884,Kostenstellen!$A$1:$C$17,2,0)</f>
        <v>Marketing</v>
      </c>
    </row>
    <row r="885" spans="1:9" x14ac:dyDescent="0.2">
      <c r="A885">
        <v>6425</v>
      </c>
      <c r="B885" s="7">
        <v>45820</v>
      </c>
      <c r="C885" t="s">
        <v>706</v>
      </c>
      <c r="D885">
        <v>781110981988</v>
      </c>
      <c r="E885">
        <v>137.49</v>
      </c>
      <c r="G885">
        <v>230</v>
      </c>
      <c r="I885" t="str">
        <f>VLOOKUP(G885,Kostenstellen!$A$1:$C$17,2,0)</f>
        <v>Sales</v>
      </c>
    </row>
    <row r="886" spans="1:9" x14ac:dyDescent="0.2">
      <c r="A886">
        <v>6425</v>
      </c>
      <c r="B886" s="7">
        <v>45820</v>
      </c>
      <c r="C886" t="s">
        <v>461</v>
      </c>
      <c r="D886" t="s">
        <v>707</v>
      </c>
      <c r="E886">
        <v>126.52</v>
      </c>
      <c r="G886">
        <v>210</v>
      </c>
      <c r="I886" t="str">
        <f>VLOOKUP(G886,Kostenstellen!$A$1:$C$17,2,0)</f>
        <v>Dev</v>
      </c>
    </row>
    <row r="887" spans="1:9" x14ac:dyDescent="0.2">
      <c r="A887">
        <v>6425</v>
      </c>
      <c r="B887" s="7">
        <v>45820</v>
      </c>
      <c r="C887" t="s">
        <v>444</v>
      </c>
      <c r="D887" t="s">
        <v>708</v>
      </c>
      <c r="E887">
        <v>26.91</v>
      </c>
      <c r="G887">
        <v>235</v>
      </c>
      <c r="I887" t="str">
        <f>VLOOKUP(G887,Kostenstellen!$A$1:$C$17,2,0)</f>
        <v>Marketing</v>
      </c>
    </row>
    <row r="888" spans="1:9" x14ac:dyDescent="0.2">
      <c r="A888">
        <v>6425</v>
      </c>
      <c r="B888" s="7">
        <v>45824</v>
      </c>
      <c r="C888" t="s">
        <v>589</v>
      </c>
      <c r="D888">
        <v>130183</v>
      </c>
      <c r="E888">
        <v>43.5</v>
      </c>
      <c r="G888">
        <v>230</v>
      </c>
      <c r="I888" t="str">
        <f>VLOOKUP(G888,Kostenstellen!$A$1:$C$17,2,0)</f>
        <v>Sales</v>
      </c>
    </row>
    <row r="889" spans="1:9" x14ac:dyDescent="0.2">
      <c r="A889">
        <v>6425</v>
      </c>
      <c r="B889" s="7">
        <v>45824</v>
      </c>
      <c r="C889" t="s">
        <v>446</v>
      </c>
      <c r="D889">
        <v>30644675</v>
      </c>
      <c r="E889">
        <v>31.96</v>
      </c>
      <c r="G889">
        <v>210</v>
      </c>
      <c r="I889" t="str">
        <f>VLOOKUP(G889,Kostenstellen!$A$1:$C$17,2,0)</f>
        <v>Dev</v>
      </c>
    </row>
    <row r="890" spans="1:9" x14ac:dyDescent="0.2">
      <c r="A890">
        <v>6425</v>
      </c>
      <c r="B890" s="7">
        <v>45824</v>
      </c>
      <c r="C890" t="s">
        <v>535</v>
      </c>
      <c r="D890" t="s">
        <v>709</v>
      </c>
      <c r="E890">
        <v>28.56</v>
      </c>
      <c r="G890">
        <v>235</v>
      </c>
      <c r="I890" t="str">
        <f>VLOOKUP(G890,Kostenstellen!$A$1:$C$17,2,0)</f>
        <v>Marketing</v>
      </c>
    </row>
    <row r="891" spans="1:9" x14ac:dyDescent="0.2">
      <c r="A891">
        <v>6425</v>
      </c>
      <c r="B891" s="7">
        <v>45824</v>
      </c>
      <c r="C891" t="s">
        <v>420</v>
      </c>
      <c r="D891" t="s">
        <v>710</v>
      </c>
      <c r="E891">
        <v>17.760000000000002</v>
      </c>
      <c r="G891">
        <v>210</v>
      </c>
      <c r="I891" t="str">
        <f>VLOOKUP(G891,Kostenstellen!$A$1:$C$17,2,0)</f>
        <v>Dev</v>
      </c>
    </row>
    <row r="892" spans="1:9" x14ac:dyDescent="0.2">
      <c r="A892">
        <v>6425</v>
      </c>
      <c r="B892" s="7">
        <v>45825</v>
      </c>
      <c r="C892" t="s">
        <v>711</v>
      </c>
      <c r="D892">
        <v>781112398929</v>
      </c>
      <c r="E892">
        <v>82.64</v>
      </c>
      <c r="G892">
        <v>202</v>
      </c>
      <c r="I892" t="str">
        <f>VLOOKUP(G892,Kostenstellen!$A$1:$C$17,2,0)</f>
        <v>Recruiting</v>
      </c>
    </row>
    <row r="893" spans="1:9" x14ac:dyDescent="0.2">
      <c r="A893">
        <v>6425</v>
      </c>
      <c r="B893" s="7">
        <v>45825</v>
      </c>
      <c r="C893" t="s">
        <v>712</v>
      </c>
      <c r="D893" t="s">
        <v>713</v>
      </c>
      <c r="E893">
        <v>130</v>
      </c>
      <c r="G893">
        <v>230</v>
      </c>
      <c r="I893" t="str">
        <f>VLOOKUP(G893,Kostenstellen!$A$1:$C$17,2,0)</f>
        <v>Sales</v>
      </c>
    </row>
    <row r="894" spans="1:9" x14ac:dyDescent="0.2">
      <c r="A894">
        <v>6425</v>
      </c>
      <c r="B894" s="7">
        <v>45826</v>
      </c>
      <c r="C894" t="s">
        <v>495</v>
      </c>
      <c r="D894" t="s">
        <v>714</v>
      </c>
      <c r="E894">
        <v>234</v>
      </c>
      <c r="G894">
        <v>230</v>
      </c>
      <c r="I894" t="str">
        <f>VLOOKUP(G894,Kostenstellen!$A$1:$C$17,2,0)</f>
        <v>Sales</v>
      </c>
    </row>
    <row r="895" spans="1:9" x14ac:dyDescent="0.2">
      <c r="A895">
        <v>6425</v>
      </c>
      <c r="B895" s="7">
        <v>45826</v>
      </c>
      <c r="C895" t="s">
        <v>491</v>
      </c>
      <c r="D895" t="s">
        <v>715</v>
      </c>
      <c r="E895">
        <v>43.38</v>
      </c>
      <c r="G895">
        <v>230</v>
      </c>
      <c r="I895" t="str">
        <f>VLOOKUP(G895,Kostenstellen!$A$1:$C$17,2,0)</f>
        <v>Sales</v>
      </c>
    </row>
    <row r="896" spans="1:9" x14ac:dyDescent="0.2">
      <c r="A896">
        <v>6425</v>
      </c>
      <c r="B896" s="7">
        <v>45827</v>
      </c>
      <c r="C896" t="s">
        <v>449</v>
      </c>
      <c r="D896" s="8">
        <v>8.9149479999999999E-18</v>
      </c>
      <c r="E896">
        <v>14.18</v>
      </c>
      <c r="G896">
        <v>200</v>
      </c>
      <c r="I896" t="str">
        <f>VLOOKUP(G896,Kostenstellen!$A$1:$C$17,2,0)</f>
        <v>aqua</v>
      </c>
    </row>
    <row r="897" spans="1:9" x14ac:dyDescent="0.2">
      <c r="A897">
        <v>6425</v>
      </c>
      <c r="B897" s="7">
        <v>45828</v>
      </c>
      <c r="C897" t="s">
        <v>716</v>
      </c>
      <c r="D897" t="s">
        <v>717</v>
      </c>
      <c r="E897">
        <v>25.79</v>
      </c>
      <c r="G897">
        <v>235</v>
      </c>
      <c r="I897" t="str">
        <f>VLOOKUP(G897,Kostenstellen!$A$1:$C$17,2,0)</f>
        <v>Marketing</v>
      </c>
    </row>
    <row r="898" spans="1:9" x14ac:dyDescent="0.2">
      <c r="A898">
        <v>6425</v>
      </c>
      <c r="B898" s="7">
        <v>45828</v>
      </c>
      <c r="C898" t="s">
        <v>495</v>
      </c>
      <c r="D898" t="s">
        <v>718</v>
      </c>
      <c r="E898">
        <v>36.57</v>
      </c>
      <c r="G898">
        <v>230</v>
      </c>
      <c r="I898" t="str">
        <f>VLOOKUP(G898,Kostenstellen!$A$1:$C$17,2,0)</f>
        <v>Sales</v>
      </c>
    </row>
    <row r="899" spans="1:9" x14ac:dyDescent="0.2">
      <c r="A899">
        <v>6425</v>
      </c>
      <c r="B899" s="7">
        <v>45831</v>
      </c>
      <c r="C899" t="s">
        <v>452</v>
      </c>
      <c r="D899" t="s">
        <v>719</v>
      </c>
      <c r="E899">
        <v>18</v>
      </c>
      <c r="G899">
        <v>220</v>
      </c>
      <c r="I899" t="str">
        <f>VLOOKUP(G899,Kostenstellen!$A$1:$C$17,2,0)</f>
        <v>Product</v>
      </c>
    </row>
    <row r="900" spans="1:9" x14ac:dyDescent="0.2">
      <c r="A900">
        <v>6425</v>
      </c>
      <c r="B900" s="7">
        <v>45831</v>
      </c>
      <c r="C900" t="s">
        <v>522</v>
      </c>
      <c r="D900" t="s">
        <v>720</v>
      </c>
      <c r="E900">
        <v>534.36</v>
      </c>
      <c r="G900">
        <v>230</v>
      </c>
      <c r="I900" t="str">
        <f>VLOOKUP(G900,Kostenstellen!$A$1:$C$17,2,0)</f>
        <v>Sales</v>
      </c>
    </row>
    <row r="901" spans="1:9" x14ac:dyDescent="0.2">
      <c r="A901">
        <v>6425</v>
      </c>
      <c r="B901" s="7">
        <v>45832</v>
      </c>
      <c r="C901" t="s">
        <v>721</v>
      </c>
      <c r="D901" t="s">
        <v>722</v>
      </c>
      <c r="E901">
        <v>9.7899999999999991</v>
      </c>
      <c r="G901">
        <v>230</v>
      </c>
      <c r="I901" t="str">
        <f>VLOOKUP(G901,Kostenstellen!$A$1:$C$17,2,0)</f>
        <v>Sales</v>
      </c>
    </row>
    <row r="902" spans="1:9" x14ac:dyDescent="0.2">
      <c r="A902">
        <v>6425</v>
      </c>
      <c r="B902" s="7">
        <v>45832</v>
      </c>
      <c r="C902" t="s">
        <v>423</v>
      </c>
      <c r="D902" t="s">
        <v>723</v>
      </c>
      <c r="E902">
        <v>17.809999999999999</v>
      </c>
      <c r="G902">
        <v>220</v>
      </c>
      <c r="I902" t="str">
        <f>VLOOKUP(G902,Kostenstellen!$A$1:$C$17,2,0)</f>
        <v>Product</v>
      </c>
    </row>
    <row r="903" spans="1:9" x14ac:dyDescent="0.2">
      <c r="A903">
        <v>6425</v>
      </c>
      <c r="B903" s="7">
        <v>45834</v>
      </c>
      <c r="C903" t="s">
        <v>454</v>
      </c>
      <c r="D903" t="s">
        <v>724</v>
      </c>
      <c r="E903">
        <v>88.58</v>
      </c>
      <c r="G903">
        <v>210</v>
      </c>
      <c r="I903" t="str">
        <f>VLOOKUP(G903,Kostenstellen!$A$1:$C$17,2,0)</f>
        <v>Dev</v>
      </c>
    </row>
    <row r="904" spans="1:9" x14ac:dyDescent="0.2">
      <c r="A904">
        <v>6425</v>
      </c>
      <c r="B904" s="7">
        <v>45835</v>
      </c>
      <c r="C904" t="s">
        <v>456</v>
      </c>
      <c r="D904" s="8" t="s">
        <v>725</v>
      </c>
      <c r="E904">
        <v>63.37</v>
      </c>
      <c r="G904">
        <v>210</v>
      </c>
      <c r="I904" t="str">
        <f>VLOOKUP(G904,Kostenstellen!$A$1:$C$17,2,0)</f>
        <v>Dev</v>
      </c>
    </row>
    <row r="905" spans="1:9" x14ac:dyDescent="0.2">
      <c r="A905">
        <v>6425</v>
      </c>
      <c r="B905" s="7">
        <v>45836</v>
      </c>
      <c r="C905" t="s">
        <v>726</v>
      </c>
      <c r="D905" t="s">
        <v>727</v>
      </c>
      <c r="E905">
        <v>855</v>
      </c>
      <c r="G905">
        <v>200</v>
      </c>
      <c r="I905" t="str">
        <f>VLOOKUP(G905,Kostenstellen!$A$1:$C$17,2,0)</f>
        <v>aqua</v>
      </c>
    </row>
    <row r="906" spans="1:9" x14ac:dyDescent="0.2">
      <c r="A906">
        <v>6425</v>
      </c>
      <c r="B906" s="7">
        <v>45838</v>
      </c>
      <c r="C906" t="s">
        <v>615</v>
      </c>
      <c r="D906" t="s">
        <v>352</v>
      </c>
      <c r="E906">
        <v>224.8</v>
      </c>
      <c r="G906">
        <v>210</v>
      </c>
      <c r="I906" t="str">
        <f>VLOOKUP(G906,Kostenstellen!$A$1:$C$17,2,0)</f>
        <v>Dev</v>
      </c>
    </row>
    <row r="907" spans="1:9" x14ac:dyDescent="0.2">
      <c r="A907">
        <v>6425</v>
      </c>
      <c r="B907" s="7">
        <v>45838</v>
      </c>
      <c r="C907" t="s">
        <v>465</v>
      </c>
      <c r="D907">
        <v>20255000001</v>
      </c>
      <c r="E907">
        <v>800</v>
      </c>
      <c r="G907">
        <v>200</v>
      </c>
      <c r="I907" t="str">
        <f>VLOOKUP(G907,Kostenstellen!$A$1:$C$17,2,0)</f>
        <v>aqua</v>
      </c>
    </row>
    <row r="908" spans="1:9" x14ac:dyDescent="0.2">
      <c r="A908">
        <v>6425</v>
      </c>
      <c r="B908" s="7">
        <v>45838</v>
      </c>
      <c r="C908" t="s">
        <v>430</v>
      </c>
      <c r="D908" t="s">
        <v>728</v>
      </c>
      <c r="E908">
        <v>17.46</v>
      </c>
      <c r="G908">
        <v>235</v>
      </c>
      <c r="I908" t="str">
        <f>VLOOKUP(G908,Kostenstellen!$A$1:$C$17,2,0)</f>
        <v>Marketing</v>
      </c>
    </row>
    <row r="909" spans="1:9" x14ac:dyDescent="0.2">
      <c r="A909">
        <v>6425</v>
      </c>
      <c r="B909" s="7">
        <v>45838</v>
      </c>
      <c r="C909" t="s">
        <v>430</v>
      </c>
      <c r="D909" t="s">
        <v>729</v>
      </c>
      <c r="E909">
        <v>17.46</v>
      </c>
      <c r="G909">
        <v>220</v>
      </c>
      <c r="I909" t="str">
        <f>VLOOKUP(G909,Kostenstellen!$A$1:$C$17,2,0)</f>
        <v>Product</v>
      </c>
    </row>
    <row r="910" spans="1:9" x14ac:dyDescent="0.2">
      <c r="A910">
        <v>6425</v>
      </c>
      <c r="B910" s="7">
        <v>45838</v>
      </c>
      <c r="C910" t="s">
        <v>537</v>
      </c>
      <c r="D910" t="s">
        <v>730</v>
      </c>
      <c r="E910">
        <v>17.55</v>
      </c>
      <c r="G910">
        <v>235</v>
      </c>
      <c r="I910" t="str">
        <f>VLOOKUP(G910,Kostenstellen!$A$1:$C$17,2,0)</f>
        <v>Marketing</v>
      </c>
    </row>
    <row r="911" spans="1:9" x14ac:dyDescent="0.2">
      <c r="A911">
        <v>6425</v>
      </c>
      <c r="B911" s="7">
        <v>45838</v>
      </c>
      <c r="C911" t="s">
        <v>731</v>
      </c>
      <c r="D911" t="s">
        <v>732</v>
      </c>
      <c r="E911">
        <v>17.61</v>
      </c>
      <c r="G911">
        <v>230</v>
      </c>
      <c r="I911" t="str">
        <f>VLOOKUP(G911,Kostenstellen!$A$1:$C$17,2,0)</f>
        <v>Sales</v>
      </c>
    </row>
    <row r="912" spans="1:9" x14ac:dyDescent="0.2">
      <c r="A912">
        <v>6425</v>
      </c>
      <c r="B912" s="7">
        <v>45838</v>
      </c>
      <c r="C912" t="s">
        <v>562</v>
      </c>
      <c r="D912" t="s">
        <v>733</v>
      </c>
      <c r="E912">
        <v>52.4</v>
      </c>
      <c r="G912">
        <v>220</v>
      </c>
      <c r="I912" t="str">
        <f>VLOOKUP(G912,Kostenstellen!$A$1:$C$17,2,0)</f>
        <v>Product</v>
      </c>
    </row>
    <row r="913" spans="1:9" x14ac:dyDescent="0.2">
      <c r="A913">
        <v>6425</v>
      </c>
      <c r="B913" s="7">
        <v>45838</v>
      </c>
      <c r="C913" t="s">
        <v>734</v>
      </c>
      <c r="D913" t="s">
        <v>735</v>
      </c>
      <c r="E913">
        <v>7.55</v>
      </c>
      <c r="G913">
        <v>235</v>
      </c>
      <c r="I913" t="str">
        <f>VLOOKUP(G913,Kostenstellen!$A$1:$C$17,2,0)</f>
        <v>Marketing</v>
      </c>
    </row>
    <row r="914" spans="1:9" x14ac:dyDescent="0.2">
      <c r="A914">
        <v>6425</v>
      </c>
      <c r="B914" s="7">
        <v>45838</v>
      </c>
      <c r="C914" t="s">
        <v>537</v>
      </c>
      <c r="D914" t="s">
        <v>736</v>
      </c>
      <c r="F914">
        <v>17.12</v>
      </c>
      <c r="G914">
        <v>235</v>
      </c>
      <c r="I914" t="str">
        <f>VLOOKUP(G914,Kostenstellen!$A$1:$C$17,2,0)</f>
        <v>Marketing</v>
      </c>
    </row>
    <row r="915" spans="1:9" x14ac:dyDescent="0.2">
      <c r="A915">
        <v>6425</v>
      </c>
      <c r="B915" s="7">
        <v>45838</v>
      </c>
      <c r="C915" t="s">
        <v>442</v>
      </c>
      <c r="D915" t="s">
        <v>737</v>
      </c>
      <c r="E915">
        <v>431.84</v>
      </c>
      <c r="G915">
        <v>210</v>
      </c>
      <c r="I915" t="str">
        <f>VLOOKUP(G915,Kostenstellen!$A$1:$C$17,2,0)</f>
        <v>Dev</v>
      </c>
    </row>
    <row r="916" spans="1:9" x14ac:dyDescent="0.2">
      <c r="A916">
        <v>6425</v>
      </c>
      <c r="B916" s="7">
        <v>45838</v>
      </c>
      <c r="C916" t="s">
        <v>442</v>
      </c>
      <c r="D916" t="s">
        <v>738</v>
      </c>
      <c r="E916">
        <v>8.7799999999999994</v>
      </c>
      <c r="G916">
        <v>210</v>
      </c>
      <c r="I916" t="str">
        <f>VLOOKUP(G916,Kostenstellen!$A$1:$C$17,2,0)</f>
        <v>Dev</v>
      </c>
    </row>
    <row r="917" spans="1:9" x14ac:dyDescent="0.2">
      <c r="A917">
        <v>6425</v>
      </c>
      <c r="B917" s="7">
        <v>45839</v>
      </c>
      <c r="C917" t="s">
        <v>739</v>
      </c>
      <c r="D917">
        <v>202507010234</v>
      </c>
      <c r="E917">
        <v>34</v>
      </c>
      <c r="G917">
        <v>230</v>
      </c>
      <c r="I917" t="str">
        <f>VLOOKUP(G917,Kostenstellen!$A$1:$C$17,2,0)</f>
        <v>Sales</v>
      </c>
    </row>
    <row r="918" spans="1:9" x14ac:dyDescent="0.2">
      <c r="A918">
        <v>6425</v>
      </c>
      <c r="B918" s="7">
        <v>45839</v>
      </c>
      <c r="C918" t="s">
        <v>466</v>
      </c>
      <c r="D918" t="s">
        <v>740</v>
      </c>
      <c r="E918">
        <v>16.809999999999999</v>
      </c>
      <c r="G918">
        <v>210</v>
      </c>
      <c r="I918" t="str">
        <f>VLOOKUP(G918,Kostenstellen!$A$1:$C$17,2,0)</f>
        <v>Dev</v>
      </c>
    </row>
    <row r="919" spans="1:9" x14ac:dyDescent="0.2">
      <c r="A919">
        <v>6425</v>
      </c>
      <c r="B919" s="7">
        <v>45840</v>
      </c>
      <c r="C919" t="s">
        <v>422</v>
      </c>
      <c r="D919">
        <v>128466</v>
      </c>
      <c r="E919">
        <v>150</v>
      </c>
      <c r="G919">
        <v>200</v>
      </c>
      <c r="I919" t="str">
        <f>VLOOKUP(G919,Kostenstellen!$A$1:$C$17,2,0)</f>
        <v>aqua</v>
      </c>
    </row>
    <row r="920" spans="1:9" x14ac:dyDescent="0.2">
      <c r="A920">
        <v>6425</v>
      </c>
      <c r="B920" s="7">
        <v>45840</v>
      </c>
      <c r="C920" t="s">
        <v>430</v>
      </c>
      <c r="D920" t="s">
        <v>741</v>
      </c>
      <c r="E920">
        <v>18.399999999999999</v>
      </c>
      <c r="G920">
        <v>235</v>
      </c>
      <c r="I920" t="str">
        <f>VLOOKUP(G920,Kostenstellen!$A$1:$C$17,2,0)</f>
        <v>Marketing</v>
      </c>
    </row>
    <row r="921" spans="1:9" x14ac:dyDescent="0.2">
      <c r="A921">
        <v>6425</v>
      </c>
      <c r="B921" s="7">
        <v>45840</v>
      </c>
      <c r="C921" t="s">
        <v>418</v>
      </c>
      <c r="D921" t="s">
        <v>742</v>
      </c>
      <c r="E921">
        <v>17.43</v>
      </c>
      <c r="G921">
        <v>220</v>
      </c>
      <c r="I921" t="str">
        <f>VLOOKUP(G921,Kostenstellen!$A$1:$C$17,2,0)</f>
        <v>Product</v>
      </c>
    </row>
    <row r="922" spans="1:9" x14ac:dyDescent="0.2">
      <c r="A922">
        <v>6425</v>
      </c>
      <c r="B922" s="7">
        <v>45841</v>
      </c>
      <c r="C922" t="s">
        <v>743</v>
      </c>
      <c r="D922" t="s">
        <v>744</v>
      </c>
      <c r="E922">
        <v>260</v>
      </c>
      <c r="G922">
        <v>230</v>
      </c>
      <c r="H922" s="7">
        <v>45841</v>
      </c>
      <c r="I922" t="str">
        <f>VLOOKUP(G922,Kostenstellen!$A$1:$C$17,2,0)</f>
        <v>Sales</v>
      </c>
    </row>
    <row r="923" spans="1:9" x14ac:dyDescent="0.2">
      <c r="A923">
        <v>6425</v>
      </c>
      <c r="B923" s="7">
        <v>45841</v>
      </c>
      <c r="C923" t="s">
        <v>470</v>
      </c>
      <c r="D923" t="s">
        <v>745</v>
      </c>
      <c r="E923">
        <v>540</v>
      </c>
      <c r="G923">
        <v>210</v>
      </c>
      <c r="I923" t="str">
        <f>VLOOKUP(G923,Kostenstellen!$A$1:$C$17,2,0)</f>
        <v>Dev</v>
      </c>
    </row>
    <row r="924" spans="1:9" x14ac:dyDescent="0.2">
      <c r="A924">
        <v>6425</v>
      </c>
      <c r="B924" s="7">
        <v>45841</v>
      </c>
      <c r="C924" t="s">
        <v>531</v>
      </c>
      <c r="D924" t="s">
        <v>746</v>
      </c>
      <c r="E924">
        <v>9.19</v>
      </c>
      <c r="G924">
        <v>230</v>
      </c>
      <c r="I924" t="str">
        <f>VLOOKUP(G924,Kostenstellen!$A$1:$C$17,2,0)</f>
        <v>Sales</v>
      </c>
    </row>
    <row r="925" spans="1:9" x14ac:dyDescent="0.2">
      <c r="A925">
        <v>6425</v>
      </c>
      <c r="B925" s="7">
        <v>45841</v>
      </c>
      <c r="C925" t="s">
        <v>441</v>
      </c>
      <c r="D925" t="s">
        <v>747</v>
      </c>
      <c r="E925">
        <v>200.63</v>
      </c>
      <c r="G925">
        <v>202</v>
      </c>
      <c r="I925" t="str">
        <f>VLOOKUP(G925,Kostenstellen!$A$1:$C$17,2,0)</f>
        <v>Recruiting</v>
      </c>
    </row>
    <row r="926" spans="1:9" x14ac:dyDescent="0.2">
      <c r="A926">
        <v>6425</v>
      </c>
      <c r="B926" s="7">
        <v>45842</v>
      </c>
      <c r="C926" t="s">
        <v>425</v>
      </c>
      <c r="D926">
        <v>150668</v>
      </c>
      <c r="E926">
        <v>21.72</v>
      </c>
      <c r="G926">
        <v>210</v>
      </c>
      <c r="I926" t="str">
        <f>VLOOKUP(G926,Kostenstellen!$A$1:$C$17,2,0)</f>
        <v>Dev</v>
      </c>
    </row>
    <row r="927" spans="1:9" x14ac:dyDescent="0.2">
      <c r="A927">
        <v>6425</v>
      </c>
      <c r="B927" s="7">
        <v>45842</v>
      </c>
      <c r="C927" t="s">
        <v>734</v>
      </c>
      <c r="D927">
        <v>90300127070119</v>
      </c>
      <c r="E927">
        <v>23.46</v>
      </c>
      <c r="G927">
        <v>230</v>
      </c>
      <c r="I927" t="str">
        <f>VLOOKUP(G927,Kostenstellen!$A$1:$C$17,2,0)</f>
        <v>Sales</v>
      </c>
    </row>
    <row r="928" spans="1:9" x14ac:dyDescent="0.2">
      <c r="A928">
        <v>6425</v>
      </c>
      <c r="B928" s="7">
        <v>45842</v>
      </c>
      <c r="C928" t="s">
        <v>426</v>
      </c>
      <c r="D928" t="s">
        <v>748</v>
      </c>
      <c r="E928">
        <v>17.41</v>
      </c>
      <c r="G928">
        <v>220</v>
      </c>
      <c r="I928" t="str">
        <f>VLOOKUP(G928,Kostenstellen!$A$1:$C$17,2,0)</f>
        <v>Product</v>
      </c>
    </row>
    <row r="929" spans="1:9" x14ac:dyDescent="0.2">
      <c r="A929">
        <v>6425</v>
      </c>
      <c r="B929" s="7">
        <v>45842</v>
      </c>
      <c r="C929" t="s">
        <v>621</v>
      </c>
      <c r="D929" t="s">
        <v>749</v>
      </c>
      <c r="E929">
        <v>86.83</v>
      </c>
      <c r="G929">
        <v>230</v>
      </c>
      <c r="I929" t="str">
        <f>VLOOKUP(G929,Kostenstellen!$A$1:$C$17,2,0)</f>
        <v>Sales</v>
      </c>
    </row>
    <row r="930" spans="1:9" x14ac:dyDescent="0.2">
      <c r="A930">
        <v>6425</v>
      </c>
      <c r="B930" s="7">
        <v>45842</v>
      </c>
      <c r="C930" t="s">
        <v>428</v>
      </c>
      <c r="D930" t="s">
        <v>750</v>
      </c>
      <c r="E930">
        <v>68.61</v>
      </c>
      <c r="G930">
        <v>235</v>
      </c>
      <c r="I930" t="str">
        <f>VLOOKUP(G930,Kostenstellen!$A$1:$C$17,2,0)</f>
        <v>Marketing</v>
      </c>
    </row>
    <row r="931" spans="1:9" x14ac:dyDescent="0.2">
      <c r="A931">
        <v>6425</v>
      </c>
      <c r="B931" s="7">
        <v>45845</v>
      </c>
      <c r="C931" t="s">
        <v>480</v>
      </c>
      <c r="D931" t="s">
        <v>751</v>
      </c>
      <c r="E931">
        <v>84.28</v>
      </c>
      <c r="G931">
        <v>230</v>
      </c>
      <c r="I931" t="str">
        <f>VLOOKUP(G931,Kostenstellen!$A$1:$C$17,2,0)</f>
        <v>Sales</v>
      </c>
    </row>
    <row r="932" spans="1:9" x14ac:dyDescent="0.2">
      <c r="A932">
        <v>6425</v>
      </c>
      <c r="B932" s="7">
        <v>45845</v>
      </c>
      <c r="C932" t="s">
        <v>436</v>
      </c>
      <c r="D932" t="s">
        <v>752</v>
      </c>
      <c r="E932">
        <v>104.26</v>
      </c>
      <c r="G932">
        <v>220</v>
      </c>
      <c r="I932" t="str">
        <f>VLOOKUP(G932,Kostenstellen!$A$1:$C$17,2,0)</f>
        <v>Product</v>
      </c>
    </row>
    <row r="933" spans="1:9" x14ac:dyDescent="0.2">
      <c r="A933">
        <v>6425</v>
      </c>
      <c r="B933" s="7">
        <v>45845</v>
      </c>
      <c r="C933" t="s">
        <v>637</v>
      </c>
      <c r="D933" t="s">
        <v>753</v>
      </c>
      <c r="E933">
        <v>16.510000000000002</v>
      </c>
      <c r="G933">
        <v>235</v>
      </c>
      <c r="I933" t="str">
        <f>VLOOKUP(G933,Kostenstellen!$A$1:$C$17,2,0)</f>
        <v>Marketing</v>
      </c>
    </row>
    <row r="934" spans="1:9" x14ac:dyDescent="0.2">
      <c r="A934">
        <v>6425</v>
      </c>
      <c r="B934" s="7">
        <v>45845</v>
      </c>
      <c r="C934" t="s">
        <v>452</v>
      </c>
      <c r="D934" t="s">
        <v>754</v>
      </c>
      <c r="E934">
        <v>180</v>
      </c>
      <c r="G934">
        <v>220</v>
      </c>
      <c r="I934" t="str">
        <f>VLOOKUP(G934,Kostenstellen!$A$1:$C$17,2,0)</f>
        <v>Product</v>
      </c>
    </row>
    <row r="935" spans="1:9" x14ac:dyDescent="0.2">
      <c r="A935">
        <v>6425</v>
      </c>
      <c r="B935" s="7">
        <v>45845</v>
      </c>
      <c r="C935" t="s">
        <v>562</v>
      </c>
      <c r="D935" t="s">
        <v>755</v>
      </c>
      <c r="E935">
        <v>47.6</v>
      </c>
      <c r="G935">
        <v>235</v>
      </c>
      <c r="I935" t="str">
        <f>VLOOKUP(G935,Kostenstellen!$A$1:$C$17,2,0)</f>
        <v>Marketing</v>
      </c>
    </row>
    <row r="936" spans="1:9" x14ac:dyDescent="0.2">
      <c r="A936">
        <v>6425</v>
      </c>
      <c r="B936" s="7">
        <v>45845</v>
      </c>
      <c r="C936" t="s">
        <v>731</v>
      </c>
      <c r="D936" t="s">
        <v>732</v>
      </c>
      <c r="E936">
        <v>17.41</v>
      </c>
      <c r="G936">
        <v>230</v>
      </c>
      <c r="I936" t="str">
        <f>VLOOKUP(G936,Kostenstellen!$A$1:$C$17,2,0)</f>
        <v>Sales</v>
      </c>
    </row>
    <row r="937" spans="1:9" x14ac:dyDescent="0.2">
      <c r="A937">
        <v>6425</v>
      </c>
      <c r="B937" s="7">
        <v>45845</v>
      </c>
      <c r="C937" t="s">
        <v>434</v>
      </c>
      <c r="D937" t="s">
        <v>756</v>
      </c>
      <c r="E937">
        <v>112.3</v>
      </c>
      <c r="G937">
        <v>220</v>
      </c>
      <c r="I937" t="str">
        <f>VLOOKUP(G937,Kostenstellen!$A$1:$C$17,2,0)</f>
        <v>Product</v>
      </c>
    </row>
    <row r="938" spans="1:9" x14ac:dyDescent="0.2">
      <c r="A938">
        <v>6425</v>
      </c>
      <c r="B938" s="7">
        <v>45845</v>
      </c>
      <c r="C938" t="s">
        <v>643</v>
      </c>
      <c r="D938" t="s">
        <v>757</v>
      </c>
      <c r="E938">
        <v>0.61</v>
      </c>
      <c r="G938">
        <v>230</v>
      </c>
      <c r="I938" t="str">
        <f>VLOOKUP(G938,Kostenstellen!$A$1:$C$17,2,0)</f>
        <v>Sales</v>
      </c>
    </row>
    <row r="939" spans="1:9" x14ac:dyDescent="0.2">
      <c r="A939">
        <v>6425</v>
      </c>
      <c r="B939" s="7">
        <v>45846</v>
      </c>
      <c r="C939" t="s">
        <v>537</v>
      </c>
      <c r="D939" t="s">
        <v>758</v>
      </c>
      <c r="E939">
        <v>10.34</v>
      </c>
      <c r="G939">
        <v>230</v>
      </c>
      <c r="I939" t="str">
        <f>VLOOKUP(G939,Kostenstellen!$A$1:$C$17,2,0)</f>
        <v>Sales</v>
      </c>
    </row>
    <row r="940" spans="1:9" x14ac:dyDescent="0.2">
      <c r="A940">
        <v>6425</v>
      </c>
      <c r="B940" s="7">
        <v>45846</v>
      </c>
      <c r="C940" t="s">
        <v>643</v>
      </c>
      <c r="D940" t="s">
        <v>759</v>
      </c>
      <c r="E940">
        <v>17.38</v>
      </c>
      <c r="G940">
        <v>230</v>
      </c>
      <c r="I940" t="str">
        <f>VLOOKUP(G940,Kostenstellen!$A$1:$C$17,2,0)</f>
        <v>Sales</v>
      </c>
    </row>
    <row r="941" spans="1:9" x14ac:dyDescent="0.2">
      <c r="A941">
        <v>6425</v>
      </c>
      <c r="B941" s="7">
        <v>45847</v>
      </c>
      <c r="C941" t="s">
        <v>440</v>
      </c>
      <c r="D941">
        <v>12547310</v>
      </c>
      <c r="E941">
        <v>11.27</v>
      </c>
      <c r="G941">
        <v>235</v>
      </c>
      <c r="I941" t="str">
        <f>VLOOKUP(G941,Kostenstellen!$A$1:$C$17,2,0)</f>
        <v>Marketing</v>
      </c>
    </row>
    <row r="942" spans="1:9" x14ac:dyDescent="0.2">
      <c r="A942">
        <v>6425</v>
      </c>
      <c r="B942" s="7">
        <v>45847</v>
      </c>
      <c r="C942" t="s">
        <v>441</v>
      </c>
      <c r="D942">
        <v>17518737181124</v>
      </c>
      <c r="E942">
        <v>201.28</v>
      </c>
      <c r="G942">
        <v>202</v>
      </c>
      <c r="I942" t="str">
        <f>VLOOKUP(G942,Kostenstellen!$A$1:$C$17,2,0)</f>
        <v>Recruiting</v>
      </c>
    </row>
    <row r="943" spans="1:9" x14ac:dyDescent="0.2">
      <c r="A943">
        <v>6425</v>
      </c>
      <c r="B943" s="7">
        <v>45847</v>
      </c>
      <c r="C943" t="s">
        <v>579</v>
      </c>
      <c r="D943" t="s">
        <v>760</v>
      </c>
      <c r="E943">
        <v>13.06</v>
      </c>
      <c r="G943">
        <v>210</v>
      </c>
      <c r="I943" t="str">
        <f>VLOOKUP(G943,Kostenstellen!$A$1:$C$17,2,0)</f>
        <v>Dev</v>
      </c>
    </row>
    <row r="944" spans="1:9" x14ac:dyDescent="0.2">
      <c r="A944">
        <v>6425</v>
      </c>
      <c r="B944" s="7">
        <v>45847</v>
      </c>
      <c r="C944" t="s">
        <v>501</v>
      </c>
      <c r="D944" t="s">
        <v>761</v>
      </c>
      <c r="E944">
        <v>21.77</v>
      </c>
      <c r="G944">
        <v>235</v>
      </c>
      <c r="I944" t="str">
        <f>VLOOKUP(G944,Kostenstellen!$A$1:$C$17,2,0)</f>
        <v>Marketing</v>
      </c>
    </row>
    <row r="945" spans="1:9" x14ac:dyDescent="0.2">
      <c r="A945">
        <v>6425</v>
      </c>
      <c r="B945" s="7">
        <v>45848</v>
      </c>
      <c r="C945" t="s">
        <v>583</v>
      </c>
      <c r="D945" t="s">
        <v>762</v>
      </c>
      <c r="E945">
        <v>41.03</v>
      </c>
      <c r="G945">
        <v>235</v>
      </c>
      <c r="I945" t="str">
        <f>VLOOKUP(G945,Kostenstellen!$A$1:$C$17,2,0)</f>
        <v>Marketing</v>
      </c>
    </row>
    <row r="946" spans="1:9" x14ac:dyDescent="0.2">
      <c r="A946">
        <v>6425</v>
      </c>
      <c r="B946" s="7">
        <v>45848</v>
      </c>
      <c r="C946" t="s">
        <v>526</v>
      </c>
      <c r="D946" t="s">
        <v>763</v>
      </c>
      <c r="E946">
        <v>7.41</v>
      </c>
      <c r="G946">
        <v>235</v>
      </c>
      <c r="I946" t="str">
        <f>VLOOKUP(G946,Kostenstellen!$A$1:$C$17,2,0)</f>
        <v>Marketing</v>
      </c>
    </row>
    <row r="947" spans="1:9" x14ac:dyDescent="0.2">
      <c r="A947">
        <v>6425</v>
      </c>
      <c r="B947" s="7">
        <v>45849</v>
      </c>
      <c r="C947" t="s">
        <v>764</v>
      </c>
      <c r="D947" t="s">
        <v>765</v>
      </c>
      <c r="E947">
        <v>86.38</v>
      </c>
      <c r="G947">
        <v>230</v>
      </c>
      <c r="I947" t="str">
        <f>VLOOKUP(G947,Kostenstellen!$A$1:$C$17,2,0)</f>
        <v>Sales</v>
      </c>
    </row>
    <row r="948" spans="1:9" x14ac:dyDescent="0.2">
      <c r="A948">
        <v>6425</v>
      </c>
      <c r="B948" s="7">
        <v>45849</v>
      </c>
      <c r="C948" t="s">
        <v>764</v>
      </c>
      <c r="D948" t="s">
        <v>766</v>
      </c>
      <c r="E948">
        <v>46.83</v>
      </c>
      <c r="G948">
        <v>230</v>
      </c>
      <c r="I948" t="str">
        <f>VLOOKUP(G948,Kostenstellen!$A$1:$C$17,2,0)</f>
        <v>Sales</v>
      </c>
    </row>
    <row r="949" spans="1:9" x14ac:dyDescent="0.2">
      <c r="A949">
        <v>6425</v>
      </c>
      <c r="B949" s="7">
        <v>45849</v>
      </c>
      <c r="C949" t="s">
        <v>461</v>
      </c>
      <c r="D949" t="s">
        <v>767</v>
      </c>
      <c r="E949">
        <v>117.62</v>
      </c>
      <c r="G949">
        <v>210</v>
      </c>
      <c r="I949" t="str">
        <f>VLOOKUP(G949,Kostenstellen!$A$1:$C$17,2,0)</f>
        <v>Dev</v>
      </c>
    </row>
    <row r="950" spans="1:9" x14ac:dyDescent="0.2">
      <c r="A950">
        <v>6425</v>
      </c>
      <c r="B950" s="7">
        <v>45849</v>
      </c>
      <c r="C950" t="s">
        <v>768</v>
      </c>
      <c r="D950" s="8" t="s">
        <v>769</v>
      </c>
      <c r="E950">
        <v>34.03</v>
      </c>
      <c r="G950">
        <v>230</v>
      </c>
      <c r="I950" t="str">
        <f>VLOOKUP(G950,Kostenstellen!$A$1:$C$17,2,0)</f>
        <v>Sales</v>
      </c>
    </row>
    <row r="951" spans="1:9" x14ac:dyDescent="0.2">
      <c r="A951">
        <v>6425</v>
      </c>
      <c r="B951" s="7">
        <v>45852</v>
      </c>
      <c r="C951" t="s">
        <v>770</v>
      </c>
      <c r="D951">
        <v>781120833539</v>
      </c>
      <c r="E951">
        <v>137.49</v>
      </c>
      <c r="G951">
        <v>230</v>
      </c>
      <c r="I951" t="str">
        <f>VLOOKUP(G951,Kostenstellen!$A$1:$C$17,2,0)</f>
        <v>Sales</v>
      </c>
    </row>
    <row r="952" spans="1:9" x14ac:dyDescent="0.2">
      <c r="A952">
        <v>6425</v>
      </c>
      <c r="B952" s="7">
        <v>45852</v>
      </c>
      <c r="C952" t="s">
        <v>771</v>
      </c>
      <c r="D952" t="s">
        <v>772</v>
      </c>
      <c r="E952">
        <v>12.3</v>
      </c>
      <c r="G952">
        <v>230</v>
      </c>
      <c r="I952" t="str">
        <f>VLOOKUP(G952,Kostenstellen!$A$1:$C$17,2,0)</f>
        <v>Sales</v>
      </c>
    </row>
    <row r="953" spans="1:9" x14ac:dyDescent="0.2">
      <c r="A953">
        <v>6425</v>
      </c>
      <c r="B953" s="7">
        <v>45852</v>
      </c>
      <c r="C953" t="s">
        <v>773</v>
      </c>
      <c r="D953" t="s">
        <v>774</v>
      </c>
      <c r="E953">
        <v>8.74</v>
      </c>
      <c r="G953">
        <v>200</v>
      </c>
      <c r="I953" t="str">
        <f>VLOOKUP(G953,Kostenstellen!$A$1:$C$17,2,0)</f>
        <v>aqua</v>
      </c>
    </row>
    <row r="954" spans="1:9" x14ac:dyDescent="0.2">
      <c r="A954">
        <v>6425</v>
      </c>
      <c r="B954" s="7">
        <v>45852</v>
      </c>
      <c r="C954" t="s">
        <v>444</v>
      </c>
      <c r="D954" t="s">
        <v>775</v>
      </c>
      <c r="E954">
        <v>26.24</v>
      </c>
      <c r="G954">
        <v>235</v>
      </c>
      <c r="I954" t="str">
        <f>VLOOKUP(G954,Kostenstellen!$A$1:$C$17,2,0)</f>
        <v>Marketing</v>
      </c>
    </row>
    <row r="955" spans="1:9" x14ac:dyDescent="0.2">
      <c r="A955">
        <v>6425</v>
      </c>
      <c r="B955" s="7">
        <v>45853</v>
      </c>
      <c r="C955" t="s">
        <v>552</v>
      </c>
      <c r="D955" t="s">
        <v>776</v>
      </c>
      <c r="E955">
        <v>46.33</v>
      </c>
      <c r="G955">
        <v>220</v>
      </c>
      <c r="I955" t="str">
        <f>VLOOKUP(G955,Kostenstellen!$A$1:$C$17,2,0)</f>
        <v>Product</v>
      </c>
    </row>
    <row r="956" spans="1:9" x14ac:dyDescent="0.2">
      <c r="A956">
        <v>6425</v>
      </c>
      <c r="B956" s="7">
        <v>45854</v>
      </c>
      <c r="C956" t="s">
        <v>446</v>
      </c>
      <c r="D956">
        <v>30644675</v>
      </c>
      <c r="E956">
        <v>31.65</v>
      </c>
      <c r="G956">
        <v>210</v>
      </c>
      <c r="I956" t="str">
        <f>VLOOKUP(G956,Kostenstellen!$A$1:$C$17,2,0)</f>
        <v>Dev</v>
      </c>
    </row>
    <row r="957" spans="1:9" x14ac:dyDescent="0.2">
      <c r="A957">
        <v>6425</v>
      </c>
      <c r="B957" s="7">
        <v>45854</v>
      </c>
      <c r="C957" t="s">
        <v>535</v>
      </c>
      <c r="D957" t="s">
        <v>777</v>
      </c>
      <c r="E957">
        <v>28.56</v>
      </c>
      <c r="G957">
        <v>235</v>
      </c>
      <c r="I957" t="str">
        <f>VLOOKUP(G957,Kostenstellen!$A$1:$C$17,2,0)</f>
        <v>Marketing</v>
      </c>
    </row>
    <row r="958" spans="1:9" x14ac:dyDescent="0.2">
      <c r="A958">
        <v>6425</v>
      </c>
      <c r="B958" s="7">
        <v>45855</v>
      </c>
      <c r="C958" t="s">
        <v>778</v>
      </c>
      <c r="D958">
        <v>781122301155</v>
      </c>
      <c r="E958">
        <v>82.64</v>
      </c>
      <c r="G958">
        <v>202</v>
      </c>
      <c r="I958" t="str">
        <f>VLOOKUP(G958,Kostenstellen!$A$1:$C$17,2,0)</f>
        <v>Recruiting</v>
      </c>
    </row>
    <row r="959" spans="1:9" x14ac:dyDescent="0.2">
      <c r="A959">
        <v>6425</v>
      </c>
      <c r="B959" s="7">
        <v>45855</v>
      </c>
      <c r="C959" t="s">
        <v>537</v>
      </c>
      <c r="D959">
        <v>90300127070119</v>
      </c>
      <c r="E959">
        <v>20.93</v>
      </c>
      <c r="G959">
        <v>230</v>
      </c>
      <c r="I959" t="str">
        <f>VLOOKUP(G959,Kostenstellen!$A$1:$C$17,2,0)</f>
        <v>Sales</v>
      </c>
    </row>
    <row r="960" spans="1:9" x14ac:dyDescent="0.2">
      <c r="A960">
        <v>6425</v>
      </c>
      <c r="B960" s="7">
        <v>45855</v>
      </c>
      <c r="C960" t="s">
        <v>712</v>
      </c>
      <c r="D960" t="s">
        <v>713</v>
      </c>
      <c r="E960">
        <v>130</v>
      </c>
      <c r="G960">
        <v>230</v>
      </c>
      <c r="I960" t="str">
        <f>VLOOKUP(G960,Kostenstellen!$A$1:$C$17,2,0)</f>
        <v>Sales</v>
      </c>
    </row>
    <row r="961" spans="1:9" x14ac:dyDescent="0.2">
      <c r="A961">
        <v>6425</v>
      </c>
      <c r="B961" s="7">
        <v>45856</v>
      </c>
      <c r="C961" t="s">
        <v>495</v>
      </c>
      <c r="D961" t="s">
        <v>779</v>
      </c>
      <c r="E961">
        <v>273</v>
      </c>
      <c r="G961">
        <v>230</v>
      </c>
      <c r="I961" t="str">
        <f>VLOOKUP(G961,Kostenstellen!$A$1:$C$17,2,0)</f>
        <v>Sales</v>
      </c>
    </row>
    <row r="962" spans="1:9" x14ac:dyDescent="0.2">
      <c r="A962">
        <v>6425</v>
      </c>
      <c r="B962" s="7">
        <v>45859</v>
      </c>
      <c r="C962" t="s">
        <v>552</v>
      </c>
      <c r="D962" t="s">
        <v>780</v>
      </c>
      <c r="E962">
        <v>23.39</v>
      </c>
      <c r="G962">
        <v>235</v>
      </c>
      <c r="I962" t="str">
        <f>VLOOKUP(G962,Kostenstellen!$A$1:$C$17,2,0)</f>
        <v>Marketing</v>
      </c>
    </row>
    <row r="963" spans="1:9" x14ac:dyDescent="0.2">
      <c r="A963">
        <v>6425</v>
      </c>
      <c r="B963" s="7">
        <v>45859</v>
      </c>
      <c r="C963" t="s">
        <v>452</v>
      </c>
      <c r="D963" t="s">
        <v>781</v>
      </c>
      <c r="E963">
        <v>18</v>
      </c>
      <c r="G963">
        <v>235</v>
      </c>
      <c r="I963" t="str">
        <f>VLOOKUP(G963,Kostenstellen!$A$1:$C$17,2,0)</f>
        <v>Marketing</v>
      </c>
    </row>
    <row r="964" spans="1:9" x14ac:dyDescent="0.2">
      <c r="A964">
        <v>6425</v>
      </c>
      <c r="B964" s="7">
        <v>45859</v>
      </c>
      <c r="C964" t="s">
        <v>449</v>
      </c>
      <c r="D964" s="8">
        <v>8.9149479999999991E-19</v>
      </c>
      <c r="E964">
        <v>14.13</v>
      </c>
      <c r="G964">
        <v>220</v>
      </c>
      <c r="I964" t="str">
        <f>VLOOKUP(G964,Kostenstellen!$A$1:$C$17,2,0)</f>
        <v>Product</v>
      </c>
    </row>
    <row r="965" spans="1:9" x14ac:dyDescent="0.2">
      <c r="A965">
        <v>6425</v>
      </c>
      <c r="B965" s="7">
        <v>45859</v>
      </c>
      <c r="C965" t="s">
        <v>716</v>
      </c>
      <c r="D965" t="s">
        <v>782</v>
      </c>
      <c r="E965">
        <v>25.55</v>
      </c>
      <c r="G965">
        <v>235</v>
      </c>
      <c r="I965" t="str">
        <f>VLOOKUP(G965,Kostenstellen!$A$1:$C$17,2,0)</f>
        <v>Marketing</v>
      </c>
    </row>
    <row r="966" spans="1:9" x14ac:dyDescent="0.2">
      <c r="A966">
        <v>6425</v>
      </c>
      <c r="B966" s="7">
        <v>45861</v>
      </c>
      <c r="C966" t="s">
        <v>783</v>
      </c>
      <c r="D966">
        <v>30929966</v>
      </c>
      <c r="E966">
        <v>13.17</v>
      </c>
      <c r="G966">
        <v>200</v>
      </c>
      <c r="I966" t="str">
        <f>VLOOKUP(G966,Kostenstellen!$A$1:$C$17,2,0)</f>
        <v>aqua</v>
      </c>
    </row>
    <row r="967" spans="1:9" x14ac:dyDescent="0.2">
      <c r="A967">
        <v>6425</v>
      </c>
      <c r="B967" s="7">
        <v>45861</v>
      </c>
      <c r="C967" t="s">
        <v>784</v>
      </c>
      <c r="D967" t="s">
        <v>785</v>
      </c>
      <c r="E967">
        <v>4.4000000000000004</v>
      </c>
      <c r="G967">
        <v>200</v>
      </c>
      <c r="I967" t="str">
        <f>VLOOKUP(G967,Kostenstellen!$A$1:$C$17,2,0)</f>
        <v>aqua</v>
      </c>
    </row>
    <row r="968" spans="1:9" x14ac:dyDescent="0.2">
      <c r="A968">
        <v>6425</v>
      </c>
      <c r="B968" s="7">
        <v>45861</v>
      </c>
      <c r="C968" t="s">
        <v>501</v>
      </c>
      <c r="D968" t="s">
        <v>786</v>
      </c>
      <c r="E968">
        <v>17.559999999999999</v>
      </c>
      <c r="G968">
        <v>230</v>
      </c>
      <c r="I968" t="str">
        <f>VLOOKUP(G968,Kostenstellen!$A$1:$C$17,2,0)</f>
        <v>Sales</v>
      </c>
    </row>
    <row r="969" spans="1:9" x14ac:dyDescent="0.2">
      <c r="A969">
        <v>6425</v>
      </c>
      <c r="B969" s="7">
        <v>45862</v>
      </c>
      <c r="C969" t="s">
        <v>423</v>
      </c>
      <c r="D969" t="s">
        <v>786</v>
      </c>
      <c r="E969">
        <v>17.47</v>
      </c>
      <c r="G969">
        <v>220</v>
      </c>
      <c r="I969" t="str">
        <f>VLOOKUP(G969,Kostenstellen!$A$1:$C$17,2,0)</f>
        <v>Product</v>
      </c>
    </row>
    <row r="970" spans="1:9" x14ac:dyDescent="0.2">
      <c r="A970">
        <v>6425</v>
      </c>
      <c r="B970" s="7">
        <v>45863</v>
      </c>
      <c r="C970" t="s">
        <v>784</v>
      </c>
      <c r="D970" t="s">
        <v>787</v>
      </c>
      <c r="F970">
        <v>4.26</v>
      </c>
      <c r="G970">
        <v>200</v>
      </c>
      <c r="I970" t="str">
        <f>VLOOKUP(G970,Kostenstellen!$A$1:$C$17,2,0)</f>
        <v>aqua</v>
      </c>
    </row>
    <row r="971" spans="1:9" x14ac:dyDescent="0.2">
      <c r="A971">
        <v>6425</v>
      </c>
      <c r="B971" s="7">
        <v>45863</v>
      </c>
      <c r="C971" t="s">
        <v>773</v>
      </c>
      <c r="D971" t="s">
        <v>788</v>
      </c>
      <c r="F971">
        <v>8.52</v>
      </c>
      <c r="G971">
        <v>200</v>
      </c>
      <c r="I971" t="str">
        <f>VLOOKUP(G971,Kostenstellen!$A$1:$C$17,2,0)</f>
        <v>aqua</v>
      </c>
    </row>
    <row r="972" spans="1:9" x14ac:dyDescent="0.2">
      <c r="A972">
        <v>6425</v>
      </c>
      <c r="B972" s="7">
        <v>45863</v>
      </c>
      <c r="C972" t="s">
        <v>789</v>
      </c>
      <c r="D972" t="s">
        <v>790</v>
      </c>
      <c r="E972">
        <v>524.1</v>
      </c>
      <c r="G972">
        <v>210</v>
      </c>
      <c r="I972" t="str">
        <f>VLOOKUP(G972,Kostenstellen!$A$1:$C$17,2,0)</f>
        <v>Dev</v>
      </c>
    </row>
    <row r="973" spans="1:9" x14ac:dyDescent="0.2">
      <c r="A973">
        <v>6425</v>
      </c>
      <c r="B973" s="7">
        <v>45866</v>
      </c>
      <c r="C973" t="s">
        <v>454</v>
      </c>
      <c r="D973" t="s">
        <v>791</v>
      </c>
      <c r="E973">
        <v>86.97</v>
      </c>
      <c r="G973">
        <v>210</v>
      </c>
      <c r="I973" t="str">
        <f>VLOOKUP(G973,Kostenstellen!$A$1:$C$17,2,0)</f>
        <v>Dev</v>
      </c>
    </row>
    <row r="974" spans="1:9" x14ac:dyDescent="0.2">
      <c r="A974">
        <v>6425</v>
      </c>
      <c r="B974" s="7">
        <v>45866</v>
      </c>
      <c r="C974" t="s">
        <v>456</v>
      </c>
      <c r="D974" s="8" t="s">
        <v>792</v>
      </c>
      <c r="E974">
        <v>66.459999999999994</v>
      </c>
      <c r="G974">
        <v>210</v>
      </c>
      <c r="I974" t="str">
        <f>VLOOKUP(G974,Kostenstellen!$A$1:$C$17,2,0)</f>
        <v>Dev</v>
      </c>
    </row>
    <row r="975" spans="1:9" x14ac:dyDescent="0.2">
      <c r="A975">
        <v>6425</v>
      </c>
      <c r="B975" s="7">
        <v>45866</v>
      </c>
      <c r="C975" t="s">
        <v>731</v>
      </c>
      <c r="D975" t="s">
        <v>732</v>
      </c>
      <c r="E975">
        <v>34.840000000000003</v>
      </c>
      <c r="G975">
        <v>230</v>
      </c>
      <c r="I975" t="str">
        <f>VLOOKUP(G975,Kostenstellen!$A$1:$C$17,2,0)</f>
        <v>Sales</v>
      </c>
    </row>
    <row r="976" spans="1:9" x14ac:dyDescent="0.2">
      <c r="A976">
        <v>6425</v>
      </c>
      <c r="B976" s="7">
        <v>45866</v>
      </c>
      <c r="C976" t="s">
        <v>442</v>
      </c>
      <c r="D976" t="s">
        <v>793</v>
      </c>
      <c r="E976">
        <v>8.7200000000000006</v>
      </c>
      <c r="G976">
        <v>210</v>
      </c>
      <c r="I976" t="str">
        <f>VLOOKUP(G976,Kostenstellen!$A$1:$C$17,2,0)</f>
        <v>Dev</v>
      </c>
    </row>
    <row r="977" spans="1:9" x14ac:dyDescent="0.2">
      <c r="A977">
        <v>6425</v>
      </c>
      <c r="B977" s="7">
        <v>45866</v>
      </c>
      <c r="C977" t="s">
        <v>794</v>
      </c>
      <c r="D977" t="s">
        <v>795</v>
      </c>
      <c r="E977">
        <v>855</v>
      </c>
      <c r="G977">
        <v>200</v>
      </c>
      <c r="I977" t="str">
        <f>VLOOKUP(G977,Kostenstellen!$A$1:$C$17,2,0)</f>
        <v>aqua</v>
      </c>
    </row>
    <row r="978" spans="1:9" x14ac:dyDescent="0.2">
      <c r="A978">
        <v>6425</v>
      </c>
      <c r="B978" s="7">
        <v>45867</v>
      </c>
      <c r="C978" t="s">
        <v>430</v>
      </c>
      <c r="D978" t="s">
        <v>796</v>
      </c>
      <c r="E978">
        <v>17.57</v>
      </c>
      <c r="G978">
        <v>235</v>
      </c>
      <c r="I978" t="str">
        <f>VLOOKUP(G978,Kostenstellen!$A$1:$C$17,2,0)</f>
        <v>Marketing</v>
      </c>
    </row>
    <row r="979" spans="1:9" x14ac:dyDescent="0.2">
      <c r="A979">
        <v>6425</v>
      </c>
      <c r="B979" s="7">
        <v>45867</v>
      </c>
      <c r="C979" t="s">
        <v>430</v>
      </c>
      <c r="D979" t="s">
        <v>797</v>
      </c>
      <c r="E979">
        <v>17.43</v>
      </c>
      <c r="G979">
        <v>220</v>
      </c>
      <c r="I979" t="str">
        <f>VLOOKUP(G979,Kostenstellen!$A$1:$C$17,2,0)</f>
        <v>Product</v>
      </c>
    </row>
    <row r="980" spans="1:9" x14ac:dyDescent="0.2">
      <c r="A980">
        <v>6425</v>
      </c>
      <c r="B980" s="7">
        <v>45867</v>
      </c>
      <c r="C980" t="s">
        <v>562</v>
      </c>
      <c r="D980" t="s">
        <v>798</v>
      </c>
      <c r="E980">
        <v>52.3</v>
      </c>
      <c r="G980">
        <v>220</v>
      </c>
      <c r="I980" t="str">
        <f>VLOOKUP(G980,Kostenstellen!$A$1:$C$17,2,0)</f>
        <v>Product</v>
      </c>
    </row>
    <row r="981" spans="1:9" x14ac:dyDescent="0.2">
      <c r="A981">
        <v>6425</v>
      </c>
      <c r="B981" s="7">
        <v>45868</v>
      </c>
      <c r="C981" t="s">
        <v>442</v>
      </c>
      <c r="D981" t="s">
        <v>799</v>
      </c>
      <c r="E981">
        <v>397.31</v>
      </c>
      <c r="G981">
        <v>210</v>
      </c>
      <c r="I981" t="str">
        <f>VLOOKUP(G981,Kostenstellen!$A$1:$C$17,2,0)</f>
        <v>Dev</v>
      </c>
    </row>
    <row r="982" spans="1:9" x14ac:dyDescent="0.2">
      <c r="A982">
        <v>6425</v>
      </c>
      <c r="B982" s="7">
        <v>45869</v>
      </c>
      <c r="C982" t="s">
        <v>615</v>
      </c>
      <c r="D982" t="s">
        <v>352</v>
      </c>
      <c r="E982">
        <v>224.8</v>
      </c>
      <c r="G982">
        <v>210</v>
      </c>
      <c r="I982" t="str">
        <f>VLOOKUP(G982,Kostenstellen!$A$1:$C$17,2,0)</f>
        <v>Dev</v>
      </c>
    </row>
    <row r="983" spans="1:9" x14ac:dyDescent="0.2">
      <c r="A983">
        <v>6425</v>
      </c>
      <c r="B983" s="7">
        <v>45869</v>
      </c>
      <c r="C983" t="s">
        <v>800</v>
      </c>
      <c r="D983" t="s">
        <v>352</v>
      </c>
      <c r="E983">
        <v>86.29</v>
      </c>
      <c r="G983">
        <v>210</v>
      </c>
      <c r="I983" t="str">
        <f>VLOOKUP(G983,Kostenstellen!$A$1:$C$17,2,0)</f>
        <v>Dev</v>
      </c>
    </row>
    <row r="984" spans="1:9" x14ac:dyDescent="0.2">
      <c r="A984">
        <v>6425</v>
      </c>
      <c r="B984" s="7">
        <v>45869</v>
      </c>
      <c r="C984" t="s">
        <v>465</v>
      </c>
      <c r="D984">
        <v>20255000001</v>
      </c>
      <c r="E984">
        <v>800</v>
      </c>
      <c r="G984">
        <v>200</v>
      </c>
      <c r="I984" t="str">
        <f>VLOOKUP(G984,Kostenstellen!$A$1:$C$17,2,0)</f>
        <v>aqua</v>
      </c>
    </row>
    <row r="985" spans="1:9" x14ac:dyDescent="0.2">
      <c r="A985">
        <v>6425</v>
      </c>
      <c r="B985" s="7">
        <v>45869</v>
      </c>
      <c r="C985" t="s">
        <v>466</v>
      </c>
      <c r="D985" t="s">
        <v>801</v>
      </c>
      <c r="E985">
        <v>16.809999999999999</v>
      </c>
      <c r="G985">
        <v>210</v>
      </c>
      <c r="I985" t="str">
        <f>VLOOKUP(G985,Kostenstellen!$A$1:$C$17,2,0)</f>
        <v>Dev</v>
      </c>
    </row>
    <row r="986" spans="1:9" x14ac:dyDescent="0.2">
      <c r="A986">
        <v>6425</v>
      </c>
      <c r="B986" s="7">
        <v>45870</v>
      </c>
      <c r="C986" t="s">
        <v>802</v>
      </c>
      <c r="D986">
        <v>202509010331</v>
      </c>
      <c r="E986">
        <v>34.89</v>
      </c>
      <c r="G986">
        <v>230</v>
      </c>
      <c r="I986" t="str">
        <f>VLOOKUP(G986,Kostenstellen!$A$1:$C$17,2,0)</f>
        <v>Sales</v>
      </c>
    </row>
    <row r="987" spans="1:9" x14ac:dyDescent="0.2">
      <c r="A987">
        <v>6425</v>
      </c>
      <c r="B987" s="7">
        <v>45872</v>
      </c>
      <c r="C987" t="s">
        <v>803</v>
      </c>
      <c r="D987" t="s">
        <v>804</v>
      </c>
      <c r="E987">
        <v>260</v>
      </c>
      <c r="G987">
        <v>230</v>
      </c>
      <c r="I987" t="str">
        <f>VLOOKUP(G987,Kostenstellen!$A$1:$C$17,2,0)</f>
        <v>Sales</v>
      </c>
    </row>
    <row r="988" spans="1:9" x14ac:dyDescent="0.2">
      <c r="A988">
        <v>6425</v>
      </c>
      <c r="B988" s="7">
        <v>45873</v>
      </c>
      <c r="C988" t="s">
        <v>422</v>
      </c>
      <c r="D988">
        <v>129568</v>
      </c>
      <c r="E988">
        <v>150</v>
      </c>
      <c r="G988">
        <v>200</v>
      </c>
      <c r="I988" t="str">
        <f>VLOOKUP(G988,Kostenstellen!$A$1:$C$17,2,0)</f>
        <v>aqua</v>
      </c>
    </row>
    <row r="989" spans="1:9" x14ac:dyDescent="0.2">
      <c r="A989">
        <v>6425</v>
      </c>
      <c r="B989" s="7">
        <v>45873</v>
      </c>
      <c r="C989" t="s">
        <v>425</v>
      </c>
      <c r="D989">
        <v>152013</v>
      </c>
      <c r="E989">
        <v>22.35</v>
      </c>
      <c r="G989">
        <v>210</v>
      </c>
      <c r="I989" t="str">
        <f>VLOOKUP(G989,Kostenstellen!$A$1:$C$17,2,0)</f>
        <v>Dev</v>
      </c>
    </row>
    <row r="990" spans="1:9" x14ac:dyDescent="0.2">
      <c r="A990">
        <v>6425</v>
      </c>
      <c r="B990" s="7">
        <v>45873</v>
      </c>
      <c r="C990" t="s">
        <v>420</v>
      </c>
      <c r="D990" t="s">
        <v>805</v>
      </c>
      <c r="E990">
        <v>11.63</v>
      </c>
      <c r="G990">
        <v>210</v>
      </c>
      <c r="I990" t="str">
        <f>VLOOKUP(G990,Kostenstellen!$A$1:$C$17,2,0)</f>
        <v>Dev</v>
      </c>
    </row>
    <row r="991" spans="1:9" x14ac:dyDescent="0.2">
      <c r="A991">
        <v>6425</v>
      </c>
      <c r="B991" s="7">
        <v>45873</v>
      </c>
      <c r="C991" t="s">
        <v>426</v>
      </c>
      <c r="D991" t="s">
        <v>806</v>
      </c>
      <c r="E991">
        <v>17.91</v>
      </c>
      <c r="G991">
        <v>220</v>
      </c>
      <c r="I991" t="str">
        <f>VLOOKUP(G991,Kostenstellen!$A$1:$C$17,2,0)</f>
        <v>Product</v>
      </c>
    </row>
    <row r="992" spans="1:9" x14ac:dyDescent="0.2">
      <c r="A992">
        <v>6425</v>
      </c>
      <c r="B992" s="7">
        <v>45873</v>
      </c>
      <c r="C992" t="s">
        <v>470</v>
      </c>
      <c r="D992" t="s">
        <v>807</v>
      </c>
      <c r="E992">
        <v>540</v>
      </c>
      <c r="G992">
        <v>210</v>
      </c>
      <c r="I992" t="str">
        <f>VLOOKUP(G992,Kostenstellen!$A$1:$C$17,2,0)</f>
        <v>Dev</v>
      </c>
    </row>
    <row r="993" spans="1:9" x14ac:dyDescent="0.2">
      <c r="A993">
        <v>6425</v>
      </c>
      <c r="B993" s="7">
        <v>45873</v>
      </c>
      <c r="C993" t="s">
        <v>430</v>
      </c>
      <c r="D993" t="s">
        <v>808</v>
      </c>
      <c r="E993">
        <v>18.399999999999999</v>
      </c>
      <c r="G993">
        <v>235</v>
      </c>
      <c r="I993" t="str">
        <f>VLOOKUP(G993,Kostenstellen!$A$1:$C$17,2,0)</f>
        <v>Marketing</v>
      </c>
    </row>
    <row r="994" spans="1:9" x14ac:dyDescent="0.2">
      <c r="A994">
        <v>6425</v>
      </c>
      <c r="B994" s="7">
        <v>45873</v>
      </c>
      <c r="C994" t="s">
        <v>621</v>
      </c>
      <c r="D994" t="s">
        <v>749</v>
      </c>
      <c r="E994">
        <v>89.56</v>
      </c>
      <c r="G994">
        <v>230</v>
      </c>
      <c r="I994" t="str">
        <f>VLOOKUP(G994,Kostenstellen!$A$1:$C$17,2,0)</f>
        <v>Sales</v>
      </c>
    </row>
    <row r="995" spans="1:9" x14ac:dyDescent="0.2">
      <c r="A995">
        <v>6425</v>
      </c>
      <c r="B995" s="7">
        <v>45873</v>
      </c>
      <c r="C995" t="s">
        <v>531</v>
      </c>
      <c r="D995" t="s">
        <v>809</v>
      </c>
      <c r="E995">
        <v>9.49</v>
      </c>
      <c r="G995">
        <v>230</v>
      </c>
      <c r="I995" t="str">
        <f>VLOOKUP(G995,Kostenstellen!$A$1:$C$17,2,0)</f>
        <v>Sales</v>
      </c>
    </row>
    <row r="996" spans="1:9" x14ac:dyDescent="0.2">
      <c r="A996">
        <v>6425</v>
      </c>
      <c r="B996" s="7">
        <v>45873</v>
      </c>
      <c r="C996" t="s">
        <v>428</v>
      </c>
      <c r="D996" t="s">
        <v>810</v>
      </c>
      <c r="E996">
        <v>70.760000000000005</v>
      </c>
      <c r="G996">
        <v>235</v>
      </c>
      <c r="I996" t="str">
        <f>VLOOKUP(G996,Kostenstellen!$A$1:$C$17,2,0)</f>
        <v>Marketing</v>
      </c>
    </row>
    <row r="997" spans="1:9" x14ac:dyDescent="0.2">
      <c r="A997">
        <v>6425</v>
      </c>
      <c r="B997" s="7">
        <v>45874</v>
      </c>
      <c r="C997" t="s">
        <v>562</v>
      </c>
      <c r="D997" t="s">
        <v>811</v>
      </c>
      <c r="E997">
        <v>47.6</v>
      </c>
      <c r="G997">
        <v>235</v>
      </c>
      <c r="I997" t="str">
        <f>VLOOKUP(G997,Kostenstellen!$A$1:$C$17,2,0)</f>
        <v>Marketing</v>
      </c>
    </row>
    <row r="998" spans="1:9" x14ac:dyDescent="0.2">
      <c r="A998">
        <v>6425</v>
      </c>
      <c r="B998" s="7">
        <v>45874</v>
      </c>
      <c r="C998" t="s">
        <v>434</v>
      </c>
      <c r="D998" t="s">
        <v>756</v>
      </c>
      <c r="E998">
        <v>115.54</v>
      </c>
      <c r="G998">
        <v>220</v>
      </c>
      <c r="I998" t="str">
        <f>VLOOKUP(G998,Kostenstellen!$A$1:$C$17,2,0)</f>
        <v>Product</v>
      </c>
    </row>
    <row r="999" spans="1:9" x14ac:dyDescent="0.2">
      <c r="A999">
        <v>6425</v>
      </c>
      <c r="B999" s="7">
        <v>45875</v>
      </c>
      <c r="C999" t="s">
        <v>637</v>
      </c>
      <c r="D999" t="s">
        <v>812</v>
      </c>
      <c r="E999">
        <v>16.82</v>
      </c>
      <c r="G999">
        <v>235</v>
      </c>
      <c r="I999" t="str">
        <f>VLOOKUP(G999,Kostenstellen!$A$1:$C$17,2,0)</f>
        <v>Marketing</v>
      </c>
    </row>
    <row r="1000" spans="1:9" x14ac:dyDescent="0.2">
      <c r="A1000">
        <v>6425</v>
      </c>
      <c r="B1000" s="7">
        <v>45875</v>
      </c>
      <c r="C1000" t="s">
        <v>768</v>
      </c>
      <c r="D1000" s="8" t="s">
        <v>813</v>
      </c>
      <c r="E1000">
        <v>8.17</v>
      </c>
      <c r="G1000">
        <v>230</v>
      </c>
      <c r="I1000" t="str">
        <f>VLOOKUP(G1000,Kostenstellen!$A$1:$C$17,2,0)</f>
        <v>Sales</v>
      </c>
    </row>
    <row r="1001" spans="1:9" x14ac:dyDescent="0.2">
      <c r="A1001">
        <v>6425</v>
      </c>
      <c r="B1001" s="7">
        <v>45876</v>
      </c>
      <c r="C1001" t="s">
        <v>436</v>
      </c>
      <c r="D1001" t="s">
        <v>814</v>
      </c>
      <c r="E1001">
        <v>106.2</v>
      </c>
      <c r="G1001">
        <v>220</v>
      </c>
      <c r="I1001" t="str">
        <f>VLOOKUP(G1001,Kostenstellen!$A$1:$C$17,2,0)</f>
        <v>Product</v>
      </c>
    </row>
    <row r="1002" spans="1:9" x14ac:dyDescent="0.2">
      <c r="A1002">
        <v>6425</v>
      </c>
      <c r="B1002" s="7">
        <v>45876</v>
      </c>
      <c r="C1002" t="s">
        <v>452</v>
      </c>
      <c r="D1002" t="s">
        <v>815</v>
      </c>
      <c r="E1002">
        <v>180</v>
      </c>
      <c r="G1002">
        <v>220</v>
      </c>
      <c r="I1002" t="str">
        <f>VLOOKUP(G1002,Kostenstellen!$A$1:$C$17,2,0)</f>
        <v>Product</v>
      </c>
    </row>
    <row r="1003" spans="1:9" x14ac:dyDescent="0.2">
      <c r="A1003">
        <v>6425</v>
      </c>
      <c r="B1003" s="7">
        <v>45877</v>
      </c>
      <c r="C1003" t="s">
        <v>441</v>
      </c>
      <c r="D1003">
        <v>17545482047998</v>
      </c>
      <c r="E1003">
        <v>204.01</v>
      </c>
      <c r="G1003">
        <v>202</v>
      </c>
      <c r="I1003" t="str">
        <f>VLOOKUP(G1003,Kostenstellen!$A$1:$C$17,2,0)</f>
        <v>Recruiting</v>
      </c>
    </row>
    <row r="1004" spans="1:9" x14ac:dyDescent="0.2">
      <c r="A1004">
        <v>6425</v>
      </c>
      <c r="B1004" s="7">
        <v>45877</v>
      </c>
      <c r="C1004" t="s">
        <v>643</v>
      </c>
      <c r="D1004" t="s">
        <v>759</v>
      </c>
      <c r="E1004">
        <v>17.649999999999999</v>
      </c>
      <c r="G1004">
        <v>230</v>
      </c>
      <c r="I1004" t="str">
        <f>VLOOKUP(G1004,Kostenstellen!$A$1:$C$17,2,0)</f>
        <v>Sales</v>
      </c>
    </row>
    <row r="1005" spans="1:9" x14ac:dyDescent="0.2">
      <c r="A1005">
        <v>6425</v>
      </c>
      <c r="B1005" s="7">
        <v>45880</v>
      </c>
      <c r="C1005" t="s">
        <v>440</v>
      </c>
      <c r="D1005">
        <v>13619579</v>
      </c>
      <c r="E1005">
        <v>11.38</v>
      </c>
      <c r="G1005">
        <v>235</v>
      </c>
      <c r="I1005" t="str">
        <f>VLOOKUP(G1005,Kostenstellen!$A$1:$C$17,2,0)</f>
        <v>Marketing</v>
      </c>
    </row>
    <row r="1006" spans="1:9" x14ac:dyDescent="0.2">
      <c r="A1006">
        <v>6425</v>
      </c>
      <c r="B1006" s="7">
        <v>45880</v>
      </c>
      <c r="C1006" t="s">
        <v>764</v>
      </c>
      <c r="D1006" t="s">
        <v>765</v>
      </c>
      <c r="E1006">
        <v>86.91</v>
      </c>
      <c r="G1006">
        <v>230</v>
      </c>
      <c r="I1006" t="str">
        <f>VLOOKUP(G1006,Kostenstellen!$A$1:$C$17,2,0)</f>
        <v>Sales</v>
      </c>
    </row>
    <row r="1007" spans="1:9" x14ac:dyDescent="0.2">
      <c r="A1007">
        <v>6425</v>
      </c>
      <c r="B1007" s="7">
        <v>45880</v>
      </c>
      <c r="C1007" t="s">
        <v>579</v>
      </c>
      <c r="D1007" t="s">
        <v>816</v>
      </c>
      <c r="E1007">
        <v>13.18</v>
      </c>
      <c r="G1007">
        <v>210</v>
      </c>
      <c r="I1007" t="str">
        <f>VLOOKUP(G1007,Kostenstellen!$A$1:$C$17,2,0)</f>
        <v>Dev</v>
      </c>
    </row>
    <row r="1008" spans="1:9" x14ac:dyDescent="0.2">
      <c r="A1008">
        <v>6425</v>
      </c>
      <c r="B1008" s="7">
        <v>45880</v>
      </c>
      <c r="C1008" t="s">
        <v>583</v>
      </c>
      <c r="D1008" t="s">
        <v>817</v>
      </c>
      <c r="E1008">
        <v>41.26</v>
      </c>
      <c r="G1008">
        <v>235</v>
      </c>
      <c r="I1008" t="str">
        <f>VLOOKUP(G1008,Kostenstellen!$A$1:$C$17,2,0)</f>
        <v>Marketing</v>
      </c>
    </row>
    <row r="1009" spans="1:9" x14ac:dyDescent="0.2">
      <c r="A1009">
        <v>6425</v>
      </c>
      <c r="B1009" s="7">
        <v>45880</v>
      </c>
      <c r="C1009" t="s">
        <v>768</v>
      </c>
      <c r="D1009" s="8" t="s">
        <v>818</v>
      </c>
      <c r="E1009">
        <v>82.53</v>
      </c>
      <c r="G1009">
        <v>230</v>
      </c>
      <c r="I1009" t="str">
        <f>VLOOKUP(G1009,Kostenstellen!$A$1:$C$17,2,0)</f>
        <v>Sales</v>
      </c>
    </row>
    <row r="1010" spans="1:9" x14ac:dyDescent="0.2">
      <c r="A1010">
        <v>6425</v>
      </c>
      <c r="B1010" s="7">
        <v>45880</v>
      </c>
      <c r="C1010" t="s">
        <v>526</v>
      </c>
      <c r="D1010" t="s">
        <v>819</v>
      </c>
      <c r="E1010">
        <v>7.45</v>
      </c>
      <c r="G1010">
        <v>235</v>
      </c>
      <c r="I1010" t="str">
        <f>VLOOKUP(G1010,Kostenstellen!$A$1:$C$17,2,0)</f>
        <v>Marketing</v>
      </c>
    </row>
    <row r="1011" spans="1:9" x14ac:dyDescent="0.2">
      <c r="A1011">
        <v>6425</v>
      </c>
      <c r="B1011" s="7">
        <v>45881</v>
      </c>
      <c r="C1011" t="s">
        <v>820</v>
      </c>
      <c r="D1011">
        <v>781131384350</v>
      </c>
      <c r="E1011">
        <v>137.49</v>
      </c>
      <c r="G1011">
        <v>230</v>
      </c>
      <c r="I1011" t="str">
        <f>VLOOKUP(G1011,Kostenstellen!$A$1:$C$17,2,0)</f>
        <v>Sales</v>
      </c>
    </row>
    <row r="1012" spans="1:9" x14ac:dyDescent="0.2">
      <c r="A1012">
        <v>6425</v>
      </c>
      <c r="B1012" s="7">
        <v>45881</v>
      </c>
      <c r="C1012" t="s">
        <v>495</v>
      </c>
      <c r="D1012" t="s">
        <v>821</v>
      </c>
      <c r="E1012">
        <v>7.7</v>
      </c>
      <c r="G1012">
        <v>230</v>
      </c>
      <c r="I1012" t="str">
        <f>VLOOKUP(G1012,Kostenstellen!$A$1:$C$17,2,0)</f>
        <v>Sales</v>
      </c>
    </row>
    <row r="1013" spans="1:9" x14ac:dyDescent="0.2">
      <c r="A1013">
        <v>6425</v>
      </c>
      <c r="B1013" s="7">
        <v>45881</v>
      </c>
      <c r="C1013" t="s">
        <v>444</v>
      </c>
      <c r="D1013" t="s">
        <v>822</v>
      </c>
      <c r="E1013">
        <v>26.34</v>
      </c>
      <c r="G1013">
        <v>235</v>
      </c>
      <c r="I1013" t="str">
        <f>VLOOKUP(G1013,Kostenstellen!$A$1:$C$17,2,0)</f>
        <v>Marketing</v>
      </c>
    </row>
    <row r="1014" spans="1:9" x14ac:dyDescent="0.2">
      <c r="A1014">
        <v>6425</v>
      </c>
      <c r="B1014" s="7">
        <v>45882</v>
      </c>
      <c r="C1014" t="s">
        <v>461</v>
      </c>
      <c r="D1014" t="s">
        <v>823</v>
      </c>
      <c r="E1014">
        <v>123.84</v>
      </c>
      <c r="G1014">
        <v>210</v>
      </c>
      <c r="I1014" t="str">
        <f>VLOOKUP(G1014,Kostenstellen!$A$1:$C$17,2,0)</f>
        <v>Dev</v>
      </c>
    </row>
    <row r="1015" spans="1:9" x14ac:dyDescent="0.2">
      <c r="A1015">
        <v>6425</v>
      </c>
      <c r="B1015" s="7">
        <v>45882</v>
      </c>
      <c r="C1015" t="s">
        <v>771</v>
      </c>
      <c r="D1015" t="s">
        <v>824</v>
      </c>
      <c r="E1015">
        <v>5.93</v>
      </c>
      <c r="G1015">
        <v>230</v>
      </c>
      <c r="I1015" t="str">
        <f>VLOOKUP(G1015,Kostenstellen!$A$1:$C$17,2,0)</f>
        <v>Sales</v>
      </c>
    </row>
    <row r="1016" spans="1:9" x14ac:dyDescent="0.2">
      <c r="A1016">
        <v>6425</v>
      </c>
      <c r="B1016" s="7">
        <v>45882</v>
      </c>
      <c r="C1016" t="s">
        <v>825</v>
      </c>
      <c r="D1016" t="s">
        <v>826</v>
      </c>
      <c r="E1016">
        <v>21.99</v>
      </c>
      <c r="G1016">
        <v>235</v>
      </c>
      <c r="I1016" t="str">
        <f>VLOOKUP(G1016,Kostenstellen!$A$1:$C$17,2,0)</f>
        <v>Marketing</v>
      </c>
    </row>
    <row r="1017" spans="1:9" x14ac:dyDescent="0.2">
      <c r="A1017">
        <v>6425</v>
      </c>
      <c r="B1017" s="7">
        <v>45883</v>
      </c>
      <c r="C1017" t="s">
        <v>501</v>
      </c>
      <c r="D1017" t="s">
        <v>827</v>
      </c>
      <c r="E1017">
        <v>17.600000000000001</v>
      </c>
      <c r="G1017">
        <v>230</v>
      </c>
      <c r="I1017" t="str">
        <f>VLOOKUP(G1017,Kostenstellen!$A$1:$C$17,2,0)</f>
        <v>Sales</v>
      </c>
    </row>
    <row r="1018" spans="1:9" x14ac:dyDescent="0.2">
      <c r="A1018">
        <v>6425</v>
      </c>
      <c r="B1018" s="7">
        <v>45884</v>
      </c>
      <c r="C1018" t="s">
        <v>828</v>
      </c>
      <c r="D1018" t="s">
        <v>829</v>
      </c>
      <c r="E1018">
        <v>39.35</v>
      </c>
      <c r="G1018">
        <v>230</v>
      </c>
      <c r="I1018" t="str">
        <f>VLOOKUP(G1018,Kostenstellen!$A$1:$C$17,2,0)</f>
        <v>Sales</v>
      </c>
    </row>
    <row r="1019" spans="1:9" x14ac:dyDescent="0.2">
      <c r="A1019">
        <v>6425</v>
      </c>
      <c r="B1019" s="7">
        <v>45884</v>
      </c>
      <c r="C1019" t="s">
        <v>552</v>
      </c>
      <c r="D1019" t="s">
        <v>830</v>
      </c>
      <c r="E1019">
        <v>18.53</v>
      </c>
      <c r="G1019">
        <v>230</v>
      </c>
      <c r="I1019" t="str">
        <f>VLOOKUP(G1019,Kostenstellen!$A$1:$C$17,2,0)</f>
        <v>Sales</v>
      </c>
    </row>
    <row r="1020" spans="1:9" x14ac:dyDescent="0.2">
      <c r="A1020">
        <v>6425</v>
      </c>
      <c r="B1020" s="7">
        <v>45887</v>
      </c>
      <c r="C1020" t="s">
        <v>831</v>
      </c>
      <c r="D1020">
        <v>781133003115</v>
      </c>
      <c r="E1020">
        <v>82.64</v>
      </c>
      <c r="G1020">
        <v>202</v>
      </c>
      <c r="I1020" t="str">
        <f>VLOOKUP(G1020,Kostenstellen!$A$1:$C$17,2,0)</f>
        <v>Recruiting</v>
      </c>
    </row>
    <row r="1021" spans="1:9" x14ac:dyDescent="0.2">
      <c r="A1021">
        <v>6425</v>
      </c>
      <c r="B1021" s="7">
        <v>45887</v>
      </c>
      <c r="C1021" t="s">
        <v>446</v>
      </c>
      <c r="D1021" t="s">
        <v>832</v>
      </c>
      <c r="E1021">
        <v>31.57</v>
      </c>
      <c r="G1021">
        <v>210</v>
      </c>
      <c r="I1021" t="str">
        <f>VLOOKUP(G1021,Kostenstellen!$A$1:$C$17,2,0)</f>
        <v>Dev</v>
      </c>
    </row>
    <row r="1022" spans="1:9" x14ac:dyDescent="0.2">
      <c r="A1022">
        <v>6425</v>
      </c>
      <c r="B1022" s="7">
        <v>45887</v>
      </c>
      <c r="C1022" t="s">
        <v>535</v>
      </c>
      <c r="D1022" t="s">
        <v>833</v>
      </c>
      <c r="E1022">
        <v>28.56</v>
      </c>
      <c r="G1022">
        <v>235</v>
      </c>
      <c r="I1022" t="str">
        <f>VLOOKUP(G1022,Kostenstellen!$A$1:$C$17,2,0)</f>
        <v>Marketing</v>
      </c>
    </row>
    <row r="1023" spans="1:9" x14ac:dyDescent="0.2">
      <c r="A1023">
        <v>6425</v>
      </c>
      <c r="B1023" s="7">
        <v>45887</v>
      </c>
      <c r="C1023" t="s">
        <v>712</v>
      </c>
      <c r="D1023" t="s">
        <v>834</v>
      </c>
      <c r="E1023">
        <v>130</v>
      </c>
      <c r="G1023">
        <v>230</v>
      </c>
      <c r="I1023" t="str">
        <f>VLOOKUP(G1023,Kostenstellen!$A$1:$C$17,2,0)</f>
        <v>Sales</v>
      </c>
    </row>
    <row r="1024" spans="1:9" x14ac:dyDescent="0.2">
      <c r="A1024">
        <v>6425</v>
      </c>
      <c r="B1024" s="7">
        <v>45888</v>
      </c>
      <c r="C1024" t="s">
        <v>449</v>
      </c>
      <c r="D1024" s="8">
        <v>8.9149479999999999E-18</v>
      </c>
      <c r="E1024">
        <v>14.04</v>
      </c>
      <c r="G1024">
        <v>220</v>
      </c>
      <c r="I1024" t="str">
        <f>VLOOKUP(G1024,Kostenstellen!$A$1:$C$17,2,0)</f>
        <v>Product</v>
      </c>
    </row>
    <row r="1025" spans="1:9" x14ac:dyDescent="0.2">
      <c r="A1025">
        <v>6425</v>
      </c>
      <c r="B1025" s="7">
        <v>45888</v>
      </c>
      <c r="C1025" t="s">
        <v>495</v>
      </c>
      <c r="D1025" t="s">
        <v>835</v>
      </c>
      <c r="E1025">
        <v>312</v>
      </c>
      <c r="G1025">
        <v>230</v>
      </c>
      <c r="I1025" t="str">
        <f>VLOOKUP(G1025,Kostenstellen!$A$1:$C$17,2,0)</f>
        <v>Sales</v>
      </c>
    </row>
    <row r="1026" spans="1:9" x14ac:dyDescent="0.2">
      <c r="A1026">
        <v>6425</v>
      </c>
      <c r="B1026" s="7">
        <v>45889</v>
      </c>
      <c r="C1026" t="s">
        <v>836</v>
      </c>
      <c r="D1026">
        <v>785133436510</v>
      </c>
      <c r="F1026">
        <v>74.64</v>
      </c>
      <c r="G1026">
        <v>202</v>
      </c>
      <c r="I1026" t="str">
        <f>VLOOKUP(G1026,Kostenstellen!$A$1:$C$17,2,0)</f>
        <v>Recruiting</v>
      </c>
    </row>
    <row r="1027" spans="1:9" x14ac:dyDescent="0.2">
      <c r="A1027">
        <v>6425</v>
      </c>
      <c r="B1027" s="7">
        <v>45889</v>
      </c>
      <c r="C1027" t="s">
        <v>716</v>
      </c>
      <c r="D1027" t="s">
        <v>837</v>
      </c>
      <c r="E1027">
        <v>25.37</v>
      </c>
      <c r="G1027">
        <v>235</v>
      </c>
      <c r="I1027" t="str">
        <f>VLOOKUP(G1027,Kostenstellen!$A$1:$C$17,2,0)</f>
        <v>Marketing</v>
      </c>
    </row>
    <row r="1028" spans="1:9" x14ac:dyDescent="0.2">
      <c r="A1028">
        <v>6425</v>
      </c>
      <c r="B1028" s="7">
        <v>45890</v>
      </c>
      <c r="C1028" t="s">
        <v>838</v>
      </c>
      <c r="D1028" t="s">
        <v>839</v>
      </c>
      <c r="E1028">
        <v>170.51</v>
      </c>
      <c r="G1028">
        <v>235</v>
      </c>
      <c r="I1028" t="str">
        <f>VLOOKUP(G1028,Kostenstellen!$A$1:$C$17,2,0)</f>
        <v>Marketing</v>
      </c>
    </row>
    <row r="1029" spans="1:9" x14ac:dyDescent="0.2">
      <c r="A1029">
        <v>6425</v>
      </c>
      <c r="B1029" s="7">
        <v>45890</v>
      </c>
      <c r="C1029" t="s">
        <v>452</v>
      </c>
      <c r="D1029" t="s">
        <v>840</v>
      </c>
      <c r="E1029">
        <v>18</v>
      </c>
      <c r="G1029">
        <v>235</v>
      </c>
      <c r="I1029" t="str">
        <f>VLOOKUP(G1029,Kostenstellen!$A$1:$C$17,2,0)</f>
        <v>Marketing</v>
      </c>
    </row>
    <row r="1030" spans="1:9" x14ac:dyDescent="0.2">
      <c r="A1030">
        <v>6425</v>
      </c>
      <c r="B1030" s="7">
        <v>45894</v>
      </c>
      <c r="C1030" t="s">
        <v>841</v>
      </c>
      <c r="D1030">
        <v>31582060</v>
      </c>
      <c r="E1030">
        <v>13.18</v>
      </c>
      <c r="G1030">
        <v>200</v>
      </c>
      <c r="I1030" t="str">
        <f>VLOOKUP(G1030,Kostenstellen!$A$1:$C$17,2,0)</f>
        <v>aqua</v>
      </c>
    </row>
    <row r="1031" spans="1:9" x14ac:dyDescent="0.2">
      <c r="A1031">
        <v>6425</v>
      </c>
      <c r="B1031" s="7">
        <v>45895</v>
      </c>
      <c r="C1031" t="s">
        <v>454</v>
      </c>
      <c r="D1031" t="s">
        <v>842</v>
      </c>
      <c r="E1031">
        <v>88.08</v>
      </c>
      <c r="G1031">
        <v>210</v>
      </c>
      <c r="I1031" t="str">
        <f>VLOOKUP(G1031,Kostenstellen!$A$1:$C$17,2,0)</f>
        <v>Dev</v>
      </c>
    </row>
    <row r="1032" spans="1:9" x14ac:dyDescent="0.2">
      <c r="A1032">
        <v>6425</v>
      </c>
      <c r="B1032" s="7">
        <v>45896</v>
      </c>
      <c r="C1032" t="s">
        <v>456</v>
      </c>
      <c r="D1032" t="s">
        <v>843</v>
      </c>
      <c r="E1032">
        <v>66.459999999999994</v>
      </c>
      <c r="G1032">
        <v>210</v>
      </c>
      <c r="I1032" t="str">
        <f>VLOOKUP(G1032,Kostenstellen!$A$1:$C$17,2,0)</f>
        <v>Dev</v>
      </c>
    </row>
    <row r="1033" spans="1:9" x14ac:dyDescent="0.2">
      <c r="A1033">
        <v>6425</v>
      </c>
      <c r="B1033" s="7">
        <v>45896</v>
      </c>
      <c r="C1033" t="s">
        <v>731</v>
      </c>
      <c r="D1033" t="s">
        <v>844</v>
      </c>
      <c r="E1033">
        <v>44.03</v>
      </c>
      <c r="G1033">
        <v>230</v>
      </c>
      <c r="I1033" t="str">
        <f>VLOOKUP(G1033,Kostenstellen!$A$1:$C$17,2,0)</f>
        <v>Sales</v>
      </c>
    </row>
    <row r="1034" spans="1:9" x14ac:dyDescent="0.2">
      <c r="A1034">
        <v>6425</v>
      </c>
      <c r="B1034" s="7">
        <v>45897</v>
      </c>
      <c r="C1034" t="s">
        <v>442</v>
      </c>
      <c r="D1034" t="s">
        <v>845</v>
      </c>
      <c r="E1034">
        <v>8.7899999999999991</v>
      </c>
      <c r="G1034">
        <v>210</v>
      </c>
      <c r="I1034" t="str">
        <f>VLOOKUP(G1034,Kostenstellen!$A$1:$C$17,2,0)</f>
        <v>Dev</v>
      </c>
    </row>
    <row r="1035" spans="1:9" x14ac:dyDescent="0.2">
      <c r="A1035">
        <v>6425</v>
      </c>
      <c r="B1035" s="7">
        <v>45897</v>
      </c>
      <c r="C1035" t="s">
        <v>846</v>
      </c>
      <c r="D1035" t="s">
        <v>847</v>
      </c>
      <c r="E1035">
        <v>855</v>
      </c>
      <c r="G1035">
        <v>200</v>
      </c>
      <c r="I1035" t="str">
        <f>VLOOKUP(G1035,Kostenstellen!$A$1:$C$17,2,0)</f>
        <v>aqua</v>
      </c>
    </row>
    <row r="1036" spans="1:9" x14ac:dyDescent="0.2">
      <c r="A1036">
        <v>6425</v>
      </c>
      <c r="B1036" s="7">
        <v>45898</v>
      </c>
      <c r="C1036" t="s">
        <v>430</v>
      </c>
      <c r="D1036" t="s">
        <v>848</v>
      </c>
      <c r="E1036">
        <v>17.57</v>
      </c>
      <c r="G1036">
        <v>235</v>
      </c>
      <c r="I1036" t="str">
        <f>VLOOKUP(G1036,Kostenstellen!$A$1:$C$17,2,0)</f>
        <v>Marketing</v>
      </c>
    </row>
    <row r="1037" spans="1:9" x14ac:dyDescent="0.2">
      <c r="A1037">
        <v>6425</v>
      </c>
      <c r="B1037" s="7">
        <v>45898</v>
      </c>
      <c r="C1037" t="s">
        <v>430</v>
      </c>
      <c r="D1037" t="s">
        <v>849</v>
      </c>
      <c r="E1037">
        <v>17.63</v>
      </c>
      <c r="G1037">
        <v>220</v>
      </c>
      <c r="I1037" t="str">
        <f>VLOOKUP(G1037,Kostenstellen!$A$1:$C$17,2,0)</f>
        <v>Product</v>
      </c>
    </row>
    <row r="1038" spans="1:9" x14ac:dyDescent="0.2">
      <c r="A1038">
        <v>6425</v>
      </c>
      <c r="B1038" s="7">
        <v>45898</v>
      </c>
      <c r="C1038" t="s">
        <v>562</v>
      </c>
      <c r="D1038" t="s">
        <v>850</v>
      </c>
      <c r="E1038">
        <v>52.88</v>
      </c>
      <c r="G1038">
        <v>210</v>
      </c>
      <c r="I1038" t="str">
        <f>VLOOKUP(G1038,Kostenstellen!$A$1:$C$17,2,0)</f>
        <v>Dev</v>
      </c>
    </row>
    <row r="1039" spans="1:9" x14ac:dyDescent="0.2">
      <c r="A1039">
        <v>6425</v>
      </c>
      <c r="B1039" s="7">
        <v>45900</v>
      </c>
      <c r="C1039" t="s">
        <v>615</v>
      </c>
      <c r="D1039" t="s">
        <v>352</v>
      </c>
      <c r="E1039">
        <v>224.8</v>
      </c>
      <c r="G1039">
        <v>210</v>
      </c>
      <c r="I1039" t="str">
        <f>VLOOKUP(G1039,Kostenstellen!$A$1:$C$17,2,0)</f>
        <v>Dev</v>
      </c>
    </row>
    <row r="1040" spans="1:9" x14ac:dyDescent="0.2">
      <c r="A1040">
        <v>6425</v>
      </c>
      <c r="B1040" s="7">
        <v>45900</v>
      </c>
      <c r="C1040" t="s">
        <v>800</v>
      </c>
      <c r="D1040" t="s">
        <v>352</v>
      </c>
      <c r="E1040">
        <v>86.29</v>
      </c>
      <c r="G1040">
        <v>210</v>
      </c>
      <c r="I1040" t="str">
        <f>VLOOKUP(G1040,Kostenstellen!$A$1:$C$17,2,0)</f>
        <v>Dev</v>
      </c>
    </row>
    <row r="1041" spans="1:9" x14ac:dyDescent="0.2">
      <c r="A1041">
        <v>6425</v>
      </c>
      <c r="B1041" s="7">
        <v>45900</v>
      </c>
      <c r="C1041" t="s">
        <v>465</v>
      </c>
      <c r="D1041">
        <v>20255000001</v>
      </c>
      <c r="E1041">
        <v>800</v>
      </c>
      <c r="G1041">
        <v>200</v>
      </c>
      <c r="I1041" t="str">
        <f>VLOOKUP(G1041,Kostenstellen!$A$1:$C$17,2,0)</f>
        <v>aqua</v>
      </c>
    </row>
    <row r="1042" spans="1:9" x14ac:dyDescent="0.2">
      <c r="A1042">
        <v>6425</v>
      </c>
      <c r="B1042" s="7">
        <v>45901</v>
      </c>
      <c r="C1042" t="s">
        <v>851</v>
      </c>
      <c r="D1042">
        <v>202509010331</v>
      </c>
      <c r="E1042">
        <v>34.15</v>
      </c>
      <c r="G1042">
        <v>230</v>
      </c>
      <c r="I1042" t="str">
        <f>VLOOKUP(G1042,Kostenstellen!$A$1:$C$17,2,0)</f>
        <v>Sales</v>
      </c>
    </row>
    <row r="1043" spans="1:9" x14ac:dyDescent="0.2">
      <c r="A1043">
        <v>6425</v>
      </c>
      <c r="B1043" s="7">
        <v>45901</v>
      </c>
      <c r="C1043" t="s">
        <v>442</v>
      </c>
      <c r="D1043" t="s">
        <v>852</v>
      </c>
      <c r="E1043">
        <v>468.49</v>
      </c>
      <c r="G1043">
        <v>210</v>
      </c>
      <c r="I1043" t="str">
        <f>VLOOKUP(G1043,Kostenstellen!$A$1:$C$17,2,0)</f>
        <v>Dev</v>
      </c>
    </row>
    <row r="1044" spans="1:9" x14ac:dyDescent="0.2">
      <c r="A1044">
        <v>6425</v>
      </c>
      <c r="B1044" s="7">
        <v>45901</v>
      </c>
      <c r="C1044" t="s">
        <v>466</v>
      </c>
      <c r="D1044" t="s">
        <v>853</v>
      </c>
      <c r="E1044">
        <v>16.809999999999999</v>
      </c>
      <c r="G1044">
        <v>210</v>
      </c>
      <c r="I1044" t="str">
        <f>VLOOKUP(G1044,Kostenstellen!$A$1:$C$17,2,0)</f>
        <v>Dev</v>
      </c>
    </row>
    <row r="1045" spans="1:9" x14ac:dyDescent="0.2">
      <c r="A1045">
        <v>6425</v>
      </c>
      <c r="B1045" s="7">
        <v>45902</v>
      </c>
      <c r="C1045" t="s">
        <v>422</v>
      </c>
      <c r="D1045">
        <v>135770</v>
      </c>
      <c r="E1045">
        <v>150</v>
      </c>
      <c r="G1045">
        <v>200</v>
      </c>
      <c r="I1045" t="str">
        <f>VLOOKUP(G1045,Kostenstellen!$A$1:$C$17,2,0)</f>
        <v>aqua</v>
      </c>
    </row>
    <row r="1046" spans="1:9" x14ac:dyDescent="0.2">
      <c r="A1046">
        <v>6425</v>
      </c>
      <c r="B1046" s="7">
        <v>45902</v>
      </c>
      <c r="C1046" t="s">
        <v>430</v>
      </c>
      <c r="D1046" t="s">
        <v>808</v>
      </c>
      <c r="E1046">
        <v>18.399999999999999</v>
      </c>
      <c r="G1046">
        <v>235</v>
      </c>
      <c r="I1046" t="str">
        <f>VLOOKUP(G1046,Kostenstellen!$A$1:$C$17,2,0)</f>
        <v>Marketing</v>
      </c>
    </row>
    <row r="1047" spans="1:9" x14ac:dyDescent="0.2">
      <c r="A1047">
        <v>6425</v>
      </c>
      <c r="B1047" s="7">
        <v>45902</v>
      </c>
      <c r="C1047" t="s">
        <v>501</v>
      </c>
      <c r="D1047" t="s">
        <v>854</v>
      </c>
      <c r="E1047">
        <v>17.510000000000002</v>
      </c>
      <c r="G1047">
        <v>235</v>
      </c>
      <c r="I1047" t="str">
        <f>VLOOKUP(G1047,Kostenstellen!$A$1:$C$17,2,0)</f>
        <v>Marketing</v>
      </c>
    </row>
    <row r="1048" spans="1:9" x14ac:dyDescent="0.2">
      <c r="A1048">
        <v>6425</v>
      </c>
      <c r="B1048" s="7">
        <v>45902</v>
      </c>
      <c r="C1048" t="s">
        <v>420</v>
      </c>
      <c r="D1048" t="s">
        <v>855</v>
      </c>
      <c r="E1048">
        <v>42.9</v>
      </c>
      <c r="G1048">
        <v>210</v>
      </c>
      <c r="I1048" t="str">
        <f>VLOOKUP(G1048,Kostenstellen!$A$1:$C$17,2,0)</f>
        <v>Dev</v>
      </c>
    </row>
    <row r="1049" spans="1:9" x14ac:dyDescent="0.2">
      <c r="A1049">
        <v>6425</v>
      </c>
      <c r="B1049" s="7">
        <v>45903</v>
      </c>
      <c r="C1049" t="s">
        <v>552</v>
      </c>
      <c r="D1049" t="s">
        <v>856</v>
      </c>
      <c r="E1049">
        <v>24.04</v>
      </c>
      <c r="G1049">
        <v>235</v>
      </c>
      <c r="I1049" t="str">
        <f>VLOOKUP(G1049,Kostenstellen!$A$1:$C$17,2,0)</f>
        <v>Marketing</v>
      </c>
    </row>
    <row r="1050" spans="1:9" x14ac:dyDescent="0.2">
      <c r="A1050">
        <v>6425</v>
      </c>
      <c r="B1050" s="7">
        <v>45903</v>
      </c>
      <c r="C1050" t="s">
        <v>857</v>
      </c>
      <c r="D1050" t="s">
        <v>858</v>
      </c>
      <c r="E1050">
        <v>260</v>
      </c>
      <c r="G1050">
        <v>230</v>
      </c>
      <c r="I1050" t="str">
        <f>VLOOKUP(G1050,Kostenstellen!$A$1:$C$17,2,0)</f>
        <v>Sales</v>
      </c>
    </row>
    <row r="1051" spans="1:9" x14ac:dyDescent="0.2">
      <c r="A1051">
        <v>6425</v>
      </c>
      <c r="B1051" s="7">
        <v>45903</v>
      </c>
      <c r="C1051" t="s">
        <v>470</v>
      </c>
      <c r="D1051" t="s">
        <v>859</v>
      </c>
      <c r="E1051">
        <v>540</v>
      </c>
      <c r="G1051">
        <v>210</v>
      </c>
      <c r="I1051" t="str">
        <f>VLOOKUP(G1051,Kostenstellen!$A$1:$C$17,2,0)</f>
        <v>Dev</v>
      </c>
    </row>
    <row r="1052" spans="1:9" x14ac:dyDescent="0.2">
      <c r="A1052">
        <v>6425</v>
      </c>
      <c r="B1052" s="7">
        <v>45903</v>
      </c>
      <c r="C1052" t="s">
        <v>531</v>
      </c>
      <c r="D1052" t="s">
        <v>860</v>
      </c>
      <c r="E1052">
        <v>9.24</v>
      </c>
      <c r="G1052">
        <v>230</v>
      </c>
      <c r="I1052" t="str">
        <f>VLOOKUP(G1052,Kostenstellen!$A$1:$C$17,2,0)</f>
        <v>Sales</v>
      </c>
    </row>
    <row r="1053" spans="1:9" x14ac:dyDescent="0.2">
      <c r="A1053">
        <v>6425</v>
      </c>
      <c r="B1053" s="7">
        <v>45904</v>
      </c>
      <c r="C1053" t="s">
        <v>425</v>
      </c>
      <c r="D1053">
        <v>153723</v>
      </c>
      <c r="E1053">
        <v>21.5</v>
      </c>
      <c r="G1053">
        <v>210</v>
      </c>
      <c r="I1053" t="str">
        <f>VLOOKUP(G1053,Kostenstellen!$A$1:$C$17,2,0)</f>
        <v>Dev</v>
      </c>
    </row>
    <row r="1054" spans="1:9" x14ac:dyDescent="0.2">
      <c r="A1054">
        <v>6425</v>
      </c>
      <c r="B1054" s="7">
        <v>45904</v>
      </c>
      <c r="C1054" t="s">
        <v>861</v>
      </c>
      <c r="D1054">
        <v>789139099119</v>
      </c>
      <c r="E1054">
        <v>64.510000000000005</v>
      </c>
      <c r="G1054">
        <v>230</v>
      </c>
      <c r="I1054" t="str">
        <f>VLOOKUP(G1054,Kostenstellen!$A$1:$C$17,2,0)</f>
        <v>Sales</v>
      </c>
    </row>
    <row r="1055" spans="1:9" x14ac:dyDescent="0.2">
      <c r="A1055">
        <v>6425</v>
      </c>
      <c r="B1055" s="7">
        <v>45904</v>
      </c>
      <c r="C1055" t="s">
        <v>426</v>
      </c>
      <c r="D1055" t="s">
        <v>862</v>
      </c>
      <c r="E1055">
        <v>17.23</v>
      </c>
      <c r="G1055">
        <v>220</v>
      </c>
      <c r="I1055" t="str">
        <f>VLOOKUP(G1055,Kostenstellen!$A$1:$C$17,2,0)</f>
        <v>Product</v>
      </c>
    </row>
    <row r="1056" spans="1:9" x14ac:dyDescent="0.2">
      <c r="A1056">
        <v>6425</v>
      </c>
      <c r="B1056" s="7">
        <v>45904</v>
      </c>
      <c r="C1056" t="s">
        <v>621</v>
      </c>
      <c r="D1056" t="s">
        <v>863</v>
      </c>
      <c r="E1056">
        <v>86.12</v>
      </c>
      <c r="G1056">
        <v>230</v>
      </c>
      <c r="I1056" t="str">
        <f>VLOOKUP(G1056,Kostenstellen!$A$1:$C$17,2,0)</f>
        <v>Sales</v>
      </c>
    </row>
    <row r="1057" spans="1:9" x14ac:dyDescent="0.2">
      <c r="A1057">
        <v>6425</v>
      </c>
      <c r="B1057" s="7">
        <v>45904</v>
      </c>
      <c r="C1057" t="s">
        <v>428</v>
      </c>
      <c r="D1057" t="s">
        <v>864</v>
      </c>
      <c r="E1057">
        <v>68.040000000000006</v>
      </c>
      <c r="G1057">
        <v>235</v>
      </c>
      <c r="I1057" t="str">
        <f>VLOOKUP(G1057,Kostenstellen!$A$1:$C$17,2,0)</f>
        <v>Marketing</v>
      </c>
    </row>
    <row r="1058" spans="1:9" x14ac:dyDescent="0.2">
      <c r="A1058">
        <v>6425</v>
      </c>
      <c r="B1058" s="7">
        <v>45905</v>
      </c>
      <c r="C1058" t="s">
        <v>562</v>
      </c>
      <c r="D1058" t="s">
        <v>865</v>
      </c>
      <c r="E1058">
        <v>47.6</v>
      </c>
      <c r="G1058">
        <v>235</v>
      </c>
      <c r="I1058" t="str">
        <f>VLOOKUP(G1058,Kostenstellen!$A$1:$C$17,2,0)</f>
        <v>Marketing</v>
      </c>
    </row>
    <row r="1059" spans="1:9" x14ac:dyDescent="0.2">
      <c r="A1059">
        <v>6425</v>
      </c>
      <c r="B1059" s="7">
        <v>45905</v>
      </c>
      <c r="C1059" t="s">
        <v>434</v>
      </c>
      <c r="D1059" t="s">
        <v>866</v>
      </c>
      <c r="E1059">
        <v>111.15</v>
      </c>
      <c r="G1059">
        <v>220</v>
      </c>
      <c r="I1059" t="str">
        <f>VLOOKUP(G1059,Kostenstellen!$A$1:$C$17,2,0)</f>
        <v>Product</v>
      </c>
    </row>
    <row r="1060" spans="1:9" x14ac:dyDescent="0.2">
      <c r="A1060">
        <v>6425</v>
      </c>
      <c r="B1060" s="7">
        <v>45908</v>
      </c>
      <c r="C1060" t="s">
        <v>436</v>
      </c>
      <c r="D1060" t="s">
        <v>867</v>
      </c>
      <c r="E1060">
        <v>103.17</v>
      </c>
      <c r="G1060">
        <v>220</v>
      </c>
      <c r="I1060" t="str">
        <f>VLOOKUP(G1060,Kostenstellen!$A$1:$C$17,2,0)</f>
        <v>Product</v>
      </c>
    </row>
    <row r="1061" spans="1:9" x14ac:dyDescent="0.2">
      <c r="A1061">
        <v>6425</v>
      </c>
      <c r="B1061" s="7">
        <v>45908</v>
      </c>
      <c r="C1061" t="s">
        <v>637</v>
      </c>
      <c r="D1061" t="s">
        <v>868</v>
      </c>
      <c r="E1061">
        <v>16.34</v>
      </c>
      <c r="G1061">
        <v>235</v>
      </c>
      <c r="I1061" t="str">
        <f>VLOOKUP(G1061,Kostenstellen!$A$1:$C$17,2,0)</f>
        <v>Marketing</v>
      </c>
    </row>
    <row r="1062" spans="1:9" x14ac:dyDescent="0.2">
      <c r="A1062">
        <v>6425</v>
      </c>
      <c r="B1062" s="7">
        <v>45908</v>
      </c>
      <c r="C1062" t="s">
        <v>522</v>
      </c>
      <c r="D1062" t="s">
        <v>869</v>
      </c>
      <c r="E1062">
        <v>516</v>
      </c>
      <c r="G1062">
        <v>230</v>
      </c>
      <c r="I1062" t="str">
        <f>VLOOKUP(G1062,Kostenstellen!$A$1:$C$17,2,0)</f>
        <v>Sales</v>
      </c>
    </row>
    <row r="1063" spans="1:9" x14ac:dyDescent="0.2">
      <c r="A1063">
        <v>6425</v>
      </c>
      <c r="B1063" s="7">
        <v>45908</v>
      </c>
      <c r="C1063" t="s">
        <v>452</v>
      </c>
      <c r="D1063" t="s">
        <v>870</v>
      </c>
      <c r="E1063">
        <v>180</v>
      </c>
      <c r="G1063">
        <v>220</v>
      </c>
      <c r="I1063" t="str">
        <f>VLOOKUP(G1063,Kostenstellen!$A$1:$C$17,2,0)</f>
        <v>Product</v>
      </c>
    </row>
    <row r="1064" spans="1:9" x14ac:dyDescent="0.2">
      <c r="A1064">
        <v>6425</v>
      </c>
      <c r="B1064" s="7">
        <v>45908</v>
      </c>
      <c r="C1064" t="s">
        <v>643</v>
      </c>
      <c r="D1064" t="s">
        <v>871</v>
      </c>
      <c r="E1064">
        <v>20.46</v>
      </c>
      <c r="G1064">
        <v>230</v>
      </c>
      <c r="I1064" t="str">
        <f>VLOOKUP(G1064,Kostenstellen!$A$1:$C$17,2,0)</f>
        <v>Sales</v>
      </c>
    </row>
    <row r="1065" spans="1:9" x14ac:dyDescent="0.2">
      <c r="A1065">
        <v>6425</v>
      </c>
      <c r="B1065" s="7">
        <v>45909</v>
      </c>
      <c r="C1065" t="s">
        <v>440</v>
      </c>
      <c r="D1065">
        <v>14678844</v>
      </c>
      <c r="E1065">
        <v>11.13</v>
      </c>
      <c r="G1065">
        <v>235</v>
      </c>
      <c r="I1065" t="str">
        <f>VLOOKUP(G1065,Kostenstellen!$A$1:$C$17,2,0)</f>
        <v>Marketing</v>
      </c>
    </row>
    <row r="1066" spans="1:9" x14ac:dyDescent="0.2">
      <c r="A1066">
        <v>6425</v>
      </c>
      <c r="B1066" s="7">
        <v>45909</v>
      </c>
      <c r="C1066" t="s">
        <v>441</v>
      </c>
      <c r="D1066">
        <v>1757314992348</v>
      </c>
      <c r="E1066">
        <v>199.06</v>
      </c>
      <c r="G1066">
        <v>202</v>
      </c>
      <c r="I1066" t="str">
        <f>VLOOKUP(G1066,Kostenstellen!$A$1:$C$17,2,0)</f>
        <v>Recruiting</v>
      </c>
    </row>
    <row r="1067" spans="1:9" x14ac:dyDescent="0.2">
      <c r="A1067">
        <v>6425</v>
      </c>
      <c r="B1067" s="7">
        <v>45909</v>
      </c>
      <c r="C1067" t="s">
        <v>579</v>
      </c>
      <c r="D1067" t="s">
        <v>872</v>
      </c>
      <c r="E1067">
        <v>12.9</v>
      </c>
      <c r="G1067">
        <v>210</v>
      </c>
      <c r="I1067" t="str">
        <f>VLOOKUP(G1067,Kostenstellen!$A$1:$C$17,2,0)</f>
        <v>Dev</v>
      </c>
    </row>
    <row r="1068" spans="1:9" x14ac:dyDescent="0.2">
      <c r="A1068">
        <v>6425</v>
      </c>
      <c r="B1068" s="7">
        <v>45910</v>
      </c>
      <c r="C1068" t="s">
        <v>583</v>
      </c>
      <c r="D1068" t="s">
        <v>873</v>
      </c>
      <c r="E1068">
        <v>40.17</v>
      </c>
      <c r="G1068">
        <v>235</v>
      </c>
      <c r="I1068" t="str">
        <f>VLOOKUP(G1068,Kostenstellen!$A$1:$C$17,2,0)</f>
        <v>Marketing</v>
      </c>
    </row>
    <row r="1069" spans="1:9" x14ac:dyDescent="0.2">
      <c r="A1069">
        <v>6425</v>
      </c>
      <c r="B1069" s="7">
        <v>45910</v>
      </c>
      <c r="C1069" t="s">
        <v>764</v>
      </c>
      <c r="D1069" t="s">
        <v>874</v>
      </c>
      <c r="E1069">
        <v>84.62</v>
      </c>
      <c r="G1069">
        <v>230</v>
      </c>
      <c r="I1069" t="str">
        <f>VLOOKUP(G1069,Kostenstellen!$A$1:$C$17,2,0)</f>
        <v>Sales</v>
      </c>
    </row>
    <row r="1070" spans="1:9" x14ac:dyDescent="0.2">
      <c r="A1070">
        <v>6425</v>
      </c>
      <c r="B1070" s="7">
        <v>45910</v>
      </c>
      <c r="C1070" t="s">
        <v>875</v>
      </c>
      <c r="D1070" t="s">
        <v>876</v>
      </c>
      <c r="E1070">
        <v>41.88</v>
      </c>
      <c r="G1070">
        <v>220</v>
      </c>
      <c r="I1070" t="str">
        <f>VLOOKUP(G1070,Kostenstellen!$A$1:$C$17,2,0)</f>
        <v>Product</v>
      </c>
    </row>
    <row r="1071" spans="1:9" x14ac:dyDescent="0.2">
      <c r="A1071">
        <v>6425</v>
      </c>
      <c r="B1071" s="7">
        <v>45910</v>
      </c>
      <c r="C1071" t="s">
        <v>526</v>
      </c>
      <c r="D1071" t="s">
        <v>877</v>
      </c>
      <c r="E1071">
        <v>7.25</v>
      </c>
      <c r="G1071">
        <v>235</v>
      </c>
      <c r="I1071" t="str">
        <f>VLOOKUP(G1071,Kostenstellen!$A$1:$C$17,2,0)</f>
        <v>Marketing</v>
      </c>
    </row>
    <row r="1072" spans="1:9" x14ac:dyDescent="0.2">
      <c r="A1072">
        <v>6425</v>
      </c>
      <c r="B1072" s="7">
        <v>45911</v>
      </c>
      <c r="C1072" t="s">
        <v>461</v>
      </c>
      <c r="D1072" t="s">
        <v>878</v>
      </c>
      <c r="E1072">
        <v>122.35</v>
      </c>
      <c r="G1072">
        <v>210</v>
      </c>
      <c r="I1072" t="str">
        <f>VLOOKUP(G1072,Kostenstellen!$A$1:$C$17,2,0)</f>
        <v>Dev</v>
      </c>
    </row>
    <row r="1073" spans="1:9" x14ac:dyDescent="0.2">
      <c r="A1073">
        <v>6425</v>
      </c>
      <c r="B1073" s="7">
        <v>45911</v>
      </c>
      <c r="C1073" t="s">
        <v>423</v>
      </c>
      <c r="D1073" t="s">
        <v>879</v>
      </c>
      <c r="E1073">
        <v>45</v>
      </c>
      <c r="G1073">
        <v>220</v>
      </c>
      <c r="I1073" t="str">
        <f>VLOOKUP(G1073,Kostenstellen!$A$1:$C$17,2,0)</f>
        <v>Product</v>
      </c>
    </row>
    <row r="1074" spans="1:9" x14ac:dyDescent="0.2">
      <c r="A1074">
        <v>6425</v>
      </c>
      <c r="B1074" s="7">
        <v>45911</v>
      </c>
      <c r="C1074" t="s">
        <v>768</v>
      </c>
      <c r="D1074" s="8" t="s">
        <v>880</v>
      </c>
      <c r="E1074">
        <v>80.25</v>
      </c>
      <c r="G1074">
        <v>230</v>
      </c>
      <c r="I1074" t="str">
        <f>VLOOKUP(G1074,Kostenstellen!$A$1:$C$17,2,0)</f>
        <v>Sales</v>
      </c>
    </row>
    <row r="1075" spans="1:9" x14ac:dyDescent="0.2">
      <c r="A1075">
        <v>6425</v>
      </c>
      <c r="B1075" s="7">
        <v>45911</v>
      </c>
      <c r="C1075" t="s">
        <v>442</v>
      </c>
      <c r="D1075" t="s">
        <v>881</v>
      </c>
      <c r="E1075">
        <v>363.61</v>
      </c>
      <c r="G1075">
        <v>210</v>
      </c>
      <c r="I1075" t="str">
        <f>VLOOKUP(G1075,Kostenstellen!$A$1:$C$17,2,0)</f>
        <v>Dev</v>
      </c>
    </row>
    <row r="1076" spans="1:9" x14ac:dyDescent="0.2">
      <c r="A1076">
        <v>6425</v>
      </c>
      <c r="B1076" s="7">
        <v>45912</v>
      </c>
      <c r="C1076" t="s">
        <v>444</v>
      </c>
      <c r="D1076" t="s">
        <v>882</v>
      </c>
      <c r="E1076">
        <v>25.68</v>
      </c>
      <c r="G1076">
        <v>235</v>
      </c>
      <c r="I1076" t="str">
        <f>VLOOKUP(G1076,Kostenstellen!$A$1:$C$17,2,0)</f>
        <v>Marketing</v>
      </c>
    </row>
    <row r="1077" spans="1:9" x14ac:dyDescent="0.2">
      <c r="A1077">
        <v>6425</v>
      </c>
      <c r="B1077" s="7">
        <v>45915</v>
      </c>
      <c r="C1077" t="s">
        <v>771</v>
      </c>
      <c r="D1077" t="s">
        <v>883</v>
      </c>
      <c r="E1077">
        <v>7.67</v>
      </c>
      <c r="G1077">
        <v>230</v>
      </c>
      <c r="I1077" t="str">
        <f>VLOOKUP(G1077,Kostenstellen!$A$1:$C$17,2,0)</f>
        <v>Sales</v>
      </c>
    </row>
    <row r="1078" spans="1:9" x14ac:dyDescent="0.2">
      <c r="A1078">
        <v>6425</v>
      </c>
      <c r="B1078" s="7">
        <v>45916</v>
      </c>
      <c r="C1078" t="s">
        <v>446</v>
      </c>
      <c r="D1078">
        <v>30644675</v>
      </c>
      <c r="E1078">
        <v>30.72</v>
      </c>
      <c r="G1078">
        <v>210</v>
      </c>
      <c r="I1078" t="str">
        <f>VLOOKUP(G1078,Kostenstellen!$A$1:$C$17,2,0)</f>
        <v>Dev</v>
      </c>
    </row>
    <row r="1079" spans="1:9" x14ac:dyDescent="0.2">
      <c r="A1079">
        <v>6425</v>
      </c>
      <c r="B1079" s="7">
        <v>45916</v>
      </c>
      <c r="C1079" t="s">
        <v>535</v>
      </c>
      <c r="D1079" t="s">
        <v>884</v>
      </c>
      <c r="E1079">
        <v>28.56</v>
      </c>
      <c r="G1079">
        <v>235</v>
      </c>
      <c r="I1079" t="str">
        <f>VLOOKUP(G1079,Kostenstellen!$A$1:$C$17,2,0)</f>
        <v>Marketing</v>
      </c>
    </row>
    <row r="1080" spans="1:9" x14ac:dyDescent="0.2">
      <c r="A1080">
        <v>6425</v>
      </c>
      <c r="B1080" s="7">
        <v>45917</v>
      </c>
      <c r="C1080" t="s">
        <v>712</v>
      </c>
      <c r="D1080" t="s">
        <v>885</v>
      </c>
      <c r="E1080">
        <v>130</v>
      </c>
      <c r="G1080">
        <v>230</v>
      </c>
      <c r="I1080" t="str">
        <f>VLOOKUP(G1080,Kostenstellen!$A$1:$C$17,2,0)</f>
        <v>Sales</v>
      </c>
    </row>
    <row r="1081" spans="1:9" x14ac:dyDescent="0.2">
      <c r="A1081">
        <v>6425</v>
      </c>
      <c r="B1081" s="7">
        <v>45918</v>
      </c>
      <c r="C1081" t="s">
        <v>886</v>
      </c>
      <c r="D1081" t="s">
        <v>873</v>
      </c>
      <c r="E1081">
        <v>584.51</v>
      </c>
      <c r="G1081">
        <v>235</v>
      </c>
      <c r="I1081" t="str">
        <f>VLOOKUP(G1081,Kostenstellen!$A$1:$C$17,2,0)</f>
        <v>Marketing</v>
      </c>
    </row>
    <row r="1082" spans="1:9" x14ac:dyDescent="0.2">
      <c r="A1082">
        <v>6425</v>
      </c>
      <c r="B1082" s="7">
        <v>45918</v>
      </c>
      <c r="C1082" t="s">
        <v>537</v>
      </c>
      <c r="D1082" t="s">
        <v>887</v>
      </c>
      <c r="E1082">
        <v>10.119999999999999</v>
      </c>
      <c r="G1082">
        <v>235</v>
      </c>
      <c r="I1082" t="str">
        <f>VLOOKUP(G1082,Kostenstellen!$A$1:$C$17,2,0)</f>
        <v>Marketing</v>
      </c>
    </row>
    <row r="1083" spans="1:9" x14ac:dyDescent="0.2">
      <c r="A1083">
        <v>6425</v>
      </c>
      <c r="B1083" s="7">
        <v>45918</v>
      </c>
      <c r="C1083" t="s">
        <v>495</v>
      </c>
      <c r="D1083" t="s">
        <v>888</v>
      </c>
      <c r="E1083">
        <v>312</v>
      </c>
      <c r="G1083">
        <v>230</v>
      </c>
      <c r="I1083" t="str">
        <f>VLOOKUP(G1083,Kostenstellen!$A$1:$C$17,2,0)</f>
        <v>Sales</v>
      </c>
    </row>
    <row r="1084" spans="1:9" x14ac:dyDescent="0.2">
      <c r="A1084">
        <v>6425</v>
      </c>
      <c r="B1084" s="7">
        <v>45919</v>
      </c>
      <c r="C1084" t="s">
        <v>889</v>
      </c>
      <c r="D1084">
        <v>789144365396</v>
      </c>
      <c r="E1084">
        <v>140.49</v>
      </c>
      <c r="G1084">
        <v>202</v>
      </c>
      <c r="I1084" t="str">
        <f>VLOOKUP(G1084,Kostenstellen!$A$1:$C$17,2,0)</f>
        <v>Recruiting</v>
      </c>
    </row>
    <row r="1085" spans="1:9" x14ac:dyDescent="0.2">
      <c r="A1085">
        <v>6425</v>
      </c>
      <c r="B1085" s="7">
        <v>45919</v>
      </c>
      <c r="C1085" t="s">
        <v>449</v>
      </c>
      <c r="D1085" s="8">
        <v>8.9149479999999999E-21</v>
      </c>
      <c r="E1085">
        <v>13.52</v>
      </c>
      <c r="G1085">
        <v>220</v>
      </c>
      <c r="I1085" t="str">
        <f>VLOOKUP(G1085,Kostenstellen!$A$1:$C$17,2,0)</f>
        <v>Product</v>
      </c>
    </row>
    <row r="1086" spans="1:9" x14ac:dyDescent="0.2">
      <c r="A1086">
        <v>6425</v>
      </c>
      <c r="B1086" s="7">
        <v>45922</v>
      </c>
      <c r="C1086" t="s">
        <v>452</v>
      </c>
      <c r="D1086" t="s">
        <v>890</v>
      </c>
      <c r="E1086">
        <v>18</v>
      </c>
      <c r="G1086">
        <v>235</v>
      </c>
      <c r="I1086" t="str">
        <f>VLOOKUP(G1086,Kostenstellen!$A$1:$C$17,2,0)</f>
        <v>Marketing</v>
      </c>
    </row>
    <row r="1087" spans="1:9" x14ac:dyDescent="0.2">
      <c r="A1087">
        <v>6425</v>
      </c>
      <c r="B1087" s="7">
        <v>45922</v>
      </c>
      <c r="C1087" t="s">
        <v>716</v>
      </c>
      <c r="D1087" t="s">
        <v>891</v>
      </c>
      <c r="E1087">
        <v>24.68</v>
      </c>
      <c r="G1087">
        <v>235</v>
      </c>
      <c r="I1087" t="str">
        <f>VLOOKUP(G1087,Kostenstellen!$A$1:$C$17,2,0)</f>
        <v>Marketing</v>
      </c>
    </row>
    <row r="1088" spans="1:9" x14ac:dyDescent="0.2">
      <c r="A1088">
        <v>6425</v>
      </c>
      <c r="B1088" s="7">
        <v>45922</v>
      </c>
      <c r="C1088" t="s">
        <v>552</v>
      </c>
      <c r="D1088" t="s">
        <v>892</v>
      </c>
      <c r="E1088">
        <v>22.54</v>
      </c>
      <c r="G1088">
        <v>230</v>
      </c>
      <c r="I1088" t="str">
        <f>VLOOKUP(G1088,Kostenstellen!$A$1:$C$17,2,0)</f>
        <v>Sales</v>
      </c>
    </row>
    <row r="1089" spans="1:9" x14ac:dyDescent="0.2">
      <c r="A1089">
        <v>6425</v>
      </c>
      <c r="B1089" s="7">
        <v>45923</v>
      </c>
      <c r="C1089" t="s">
        <v>841</v>
      </c>
      <c r="D1089">
        <v>32274442</v>
      </c>
      <c r="E1089">
        <v>12.78</v>
      </c>
      <c r="G1089">
        <v>200</v>
      </c>
      <c r="I1089" t="str">
        <f>VLOOKUP(G1089,Kostenstellen!$A$1:$C$17,2,0)</f>
        <v>aqua</v>
      </c>
    </row>
    <row r="1090" spans="1:9" x14ac:dyDescent="0.2">
      <c r="A1090">
        <v>6425</v>
      </c>
      <c r="B1090" s="7">
        <v>45926</v>
      </c>
      <c r="C1090" t="s">
        <v>454</v>
      </c>
      <c r="D1090" t="s">
        <v>893</v>
      </c>
      <c r="E1090">
        <v>85.27</v>
      </c>
      <c r="G1090">
        <v>210</v>
      </c>
      <c r="I1090" t="str">
        <f>VLOOKUP(G1090,Kostenstellen!$A$1:$C$17,2,0)</f>
        <v>Dev</v>
      </c>
    </row>
    <row r="1091" spans="1:9" x14ac:dyDescent="0.2">
      <c r="A1091">
        <v>6425</v>
      </c>
      <c r="B1091" s="7">
        <v>45926</v>
      </c>
      <c r="C1091" t="s">
        <v>731</v>
      </c>
      <c r="D1091" t="s">
        <v>732</v>
      </c>
      <c r="E1091">
        <v>40.549999999999997</v>
      </c>
      <c r="G1091">
        <v>230</v>
      </c>
      <c r="I1091" t="str">
        <f>VLOOKUP(G1091,Kostenstellen!$A$1:$C$17,2,0)</f>
        <v>Sales</v>
      </c>
    </row>
    <row r="1092" spans="1:9" x14ac:dyDescent="0.2">
      <c r="A1092">
        <v>6425</v>
      </c>
      <c r="B1092" s="7">
        <v>45928</v>
      </c>
      <c r="C1092" t="s">
        <v>894</v>
      </c>
      <c r="D1092" t="s">
        <v>895</v>
      </c>
      <c r="E1092">
        <v>855</v>
      </c>
      <c r="G1092">
        <v>200</v>
      </c>
      <c r="I1092" t="str">
        <f>VLOOKUP(G1092,Kostenstellen!$A$1:$C$17,2,0)</f>
        <v>aqua</v>
      </c>
    </row>
    <row r="1093" spans="1:9" x14ac:dyDescent="0.2">
      <c r="A1093">
        <v>6425</v>
      </c>
      <c r="B1093" s="7">
        <v>45929</v>
      </c>
      <c r="C1093" t="s">
        <v>430</v>
      </c>
      <c r="D1093" t="s">
        <v>896</v>
      </c>
      <c r="E1093">
        <v>17.170000000000002</v>
      </c>
      <c r="G1093">
        <v>235</v>
      </c>
      <c r="I1093" t="str">
        <f>VLOOKUP(G1093,Kostenstellen!$A$1:$C$17,2,0)</f>
        <v>Marketing</v>
      </c>
    </row>
    <row r="1094" spans="1:9" x14ac:dyDescent="0.2">
      <c r="A1094">
        <v>6425</v>
      </c>
      <c r="B1094" s="7">
        <v>45929</v>
      </c>
      <c r="C1094" t="s">
        <v>430</v>
      </c>
      <c r="D1094" t="s">
        <v>897</v>
      </c>
      <c r="E1094">
        <v>17.170000000000002</v>
      </c>
      <c r="G1094">
        <v>220</v>
      </c>
      <c r="I1094" t="str">
        <f>VLOOKUP(G1094,Kostenstellen!$A$1:$C$17,2,0)</f>
        <v>Product</v>
      </c>
    </row>
    <row r="1095" spans="1:9" x14ac:dyDescent="0.2">
      <c r="A1095">
        <v>6425</v>
      </c>
      <c r="B1095" s="7">
        <v>45929</v>
      </c>
      <c r="C1095" t="s">
        <v>456</v>
      </c>
      <c r="D1095" s="8" t="s">
        <v>898</v>
      </c>
      <c r="E1095">
        <v>65.150000000000006</v>
      </c>
      <c r="G1095">
        <v>210</v>
      </c>
      <c r="I1095" t="str">
        <f>VLOOKUP(G1095,Kostenstellen!$A$1:$C$17,2,0)</f>
        <v>Dev</v>
      </c>
    </row>
    <row r="1096" spans="1:9" x14ac:dyDescent="0.2">
      <c r="A1096">
        <v>6425</v>
      </c>
      <c r="B1096" s="7">
        <v>45929</v>
      </c>
      <c r="C1096" t="s">
        <v>562</v>
      </c>
      <c r="D1096" t="s">
        <v>899</v>
      </c>
      <c r="E1096">
        <v>51.52</v>
      </c>
      <c r="G1096">
        <v>220</v>
      </c>
      <c r="I1096" t="str">
        <f>VLOOKUP(G1096,Kostenstellen!$A$1:$C$17,2,0)</f>
        <v>Product</v>
      </c>
    </row>
    <row r="1097" spans="1:9" x14ac:dyDescent="0.2">
      <c r="A1097">
        <v>6425</v>
      </c>
      <c r="B1097" s="7">
        <v>45929</v>
      </c>
      <c r="C1097" t="s">
        <v>442</v>
      </c>
      <c r="D1097" t="s">
        <v>900</v>
      </c>
      <c r="E1097">
        <v>8.59</v>
      </c>
      <c r="G1097">
        <v>210</v>
      </c>
      <c r="I1097" t="str">
        <f>VLOOKUP(G1097,Kostenstellen!$A$1:$C$17,2,0)</f>
        <v>Dev</v>
      </c>
    </row>
    <row r="1098" spans="1:9" x14ac:dyDescent="0.2">
      <c r="A1098">
        <v>6425</v>
      </c>
      <c r="B1098" s="7">
        <v>45930</v>
      </c>
      <c r="C1098" t="s">
        <v>615</v>
      </c>
      <c r="D1098" t="s">
        <v>352</v>
      </c>
      <c r="E1098">
        <v>224.8</v>
      </c>
      <c r="G1098">
        <v>210</v>
      </c>
      <c r="I1098" t="str">
        <f>VLOOKUP(G1098,Kostenstellen!$A$1:$C$17,2,0)</f>
        <v>Dev</v>
      </c>
    </row>
    <row r="1099" spans="1:9" x14ac:dyDescent="0.2">
      <c r="A1099">
        <v>6425</v>
      </c>
      <c r="B1099" s="7">
        <v>45930</v>
      </c>
      <c r="C1099" t="s">
        <v>800</v>
      </c>
      <c r="D1099" t="s">
        <v>352</v>
      </c>
      <c r="E1099">
        <v>86.29</v>
      </c>
      <c r="G1099">
        <v>210</v>
      </c>
      <c r="I1099" t="str">
        <f>VLOOKUP(G1099,Kostenstellen!$A$1:$C$17,2,0)</f>
        <v>Dev</v>
      </c>
    </row>
    <row r="1100" spans="1:9" x14ac:dyDescent="0.2">
      <c r="A1100">
        <v>6425</v>
      </c>
      <c r="B1100" s="7">
        <v>45930</v>
      </c>
      <c r="C1100" t="s">
        <v>465</v>
      </c>
      <c r="D1100">
        <v>20255000001</v>
      </c>
      <c r="E1100">
        <v>800</v>
      </c>
      <c r="G1100">
        <v>200</v>
      </c>
      <c r="I1100" t="str">
        <f>VLOOKUP(G1100,Kostenstellen!$A$1:$C$17,2,0)</f>
        <v>aqua</v>
      </c>
    </row>
    <row r="1101" spans="1:9" x14ac:dyDescent="0.2">
      <c r="A1101">
        <v>6425</v>
      </c>
      <c r="B1101" s="7">
        <v>45930</v>
      </c>
      <c r="C1101" t="s">
        <v>442</v>
      </c>
      <c r="D1101" t="s">
        <v>901</v>
      </c>
      <c r="E1101">
        <v>82.44</v>
      </c>
      <c r="G1101">
        <v>210</v>
      </c>
      <c r="I1101" t="str">
        <f>VLOOKUP(G1101,Kostenstellen!$A$1:$C$17,2,0)</f>
        <v>Dev</v>
      </c>
    </row>
    <row r="1102" spans="1:9" x14ac:dyDescent="0.2">
      <c r="A1102">
        <v>6425</v>
      </c>
      <c r="B1102" s="7">
        <v>45931</v>
      </c>
      <c r="C1102" t="s">
        <v>902</v>
      </c>
      <c r="D1102">
        <v>202510010096</v>
      </c>
      <c r="E1102">
        <v>33.97</v>
      </c>
      <c r="G1102">
        <v>230</v>
      </c>
      <c r="I1102" t="str">
        <f>VLOOKUP(G1102,Kostenstellen!$A$1:$C$17,2,0)</f>
        <v>Sales</v>
      </c>
    </row>
    <row r="1103" spans="1:9" x14ac:dyDescent="0.2">
      <c r="A1103">
        <v>6425</v>
      </c>
      <c r="B1103" s="7">
        <v>45931</v>
      </c>
      <c r="C1103" t="s">
        <v>552</v>
      </c>
      <c r="D1103" t="s">
        <v>903</v>
      </c>
      <c r="E1103">
        <v>17.53</v>
      </c>
      <c r="G1103">
        <v>235</v>
      </c>
      <c r="I1103" t="str">
        <f>VLOOKUP(G1103,Kostenstellen!$A$1:$C$17,2,0)</f>
        <v>Marketing</v>
      </c>
    </row>
    <row r="1104" spans="1:9" x14ac:dyDescent="0.2">
      <c r="A1104">
        <v>6425</v>
      </c>
      <c r="B1104" s="7">
        <v>45931</v>
      </c>
      <c r="C1104" t="s">
        <v>466</v>
      </c>
      <c r="D1104" t="s">
        <v>904</v>
      </c>
      <c r="E1104">
        <v>16.809999999999999</v>
      </c>
      <c r="G1104">
        <v>210</v>
      </c>
      <c r="I1104" t="str">
        <f>VLOOKUP(G1104,Kostenstellen!$A$1:$C$17,2,0)</f>
        <v>Dev</v>
      </c>
    </row>
    <row r="1105" spans="1:9" x14ac:dyDescent="0.2">
      <c r="A1105">
        <v>6425</v>
      </c>
      <c r="B1105" s="7">
        <v>45932</v>
      </c>
      <c r="C1105" t="s">
        <v>422</v>
      </c>
      <c r="D1105">
        <v>146833</v>
      </c>
      <c r="E1105">
        <v>150</v>
      </c>
      <c r="G1105">
        <v>200</v>
      </c>
      <c r="I1105" t="str">
        <f>VLOOKUP(G1105,Kostenstellen!$A$1:$C$17,2,0)</f>
        <v>aqua</v>
      </c>
    </row>
    <row r="1106" spans="1:9" x14ac:dyDescent="0.2">
      <c r="A1106">
        <v>6425</v>
      </c>
      <c r="B1106" s="7">
        <v>45932</v>
      </c>
      <c r="C1106" t="s">
        <v>430</v>
      </c>
      <c r="D1106" t="s">
        <v>905</v>
      </c>
      <c r="E1106">
        <v>18.399999999999999</v>
      </c>
      <c r="G1106">
        <v>235</v>
      </c>
      <c r="I1106" t="str">
        <f>VLOOKUP(G1106,Kostenstellen!$A$1:$C$17,2,0)</f>
        <v>Marketing</v>
      </c>
    </row>
    <row r="1107" spans="1:9" x14ac:dyDescent="0.2">
      <c r="A1107">
        <v>6425</v>
      </c>
      <c r="B1107" s="7">
        <v>45932</v>
      </c>
      <c r="C1107" t="s">
        <v>420</v>
      </c>
      <c r="D1107" t="s">
        <v>906</v>
      </c>
      <c r="E1107">
        <v>72.290000000000006</v>
      </c>
      <c r="G1107">
        <v>210</v>
      </c>
      <c r="I1107" t="str">
        <f>VLOOKUP(G1107,Kostenstellen!$A$1:$C$17,2,0)</f>
        <v>Dev</v>
      </c>
    </row>
    <row r="1108" spans="1:9" x14ac:dyDescent="0.2">
      <c r="A1108">
        <v>6425</v>
      </c>
      <c r="B1108" s="7">
        <v>45933</v>
      </c>
      <c r="C1108" t="s">
        <v>907</v>
      </c>
      <c r="D1108" t="s">
        <v>908</v>
      </c>
      <c r="E1108">
        <v>260</v>
      </c>
      <c r="G1108">
        <v>230</v>
      </c>
      <c r="I1108" t="str">
        <f>VLOOKUP(G1108,Kostenstellen!$A$1:$C$17,2,0)</f>
        <v>Sales</v>
      </c>
    </row>
    <row r="1109" spans="1:9" x14ac:dyDescent="0.2">
      <c r="A1109">
        <v>6425</v>
      </c>
      <c r="B1109" s="7">
        <v>45933</v>
      </c>
      <c r="C1109" t="s">
        <v>470</v>
      </c>
      <c r="D1109" t="s">
        <v>909</v>
      </c>
      <c r="E1109">
        <v>540</v>
      </c>
      <c r="G1109">
        <v>210</v>
      </c>
      <c r="I1109" t="str">
        <f>VLOOKUP(G1109,Kostenstellen!$A$1:$C$17,2,0)</f>
        <v>Dev</v>
      </c>
    </row>
    <row r="1110" spans="1:9" x14ac:dyDescent="0.2">
      <c r="A1110">
        <v>6425</v>
      </c>
      <c r="B1110" s="7">
        <v>45933</v>
      </c>
      <c r="C1110" t="s">
        <v>910</v>
      </c>
      <c r="D1110" t="s">
        <v>911</v>
      </c>
      <c r="E1110">
        <v>8.8800000000000008</v>
      </c>
      <c r="G1110">
        <v>235</v>
      </c>
      <c r="H1110" s="7">
        <v>45932</v>
      </c>
      <c r="I1110" t="str">
        <f>VLOOKUP(G1110,Kostenstellen!$A$1:$C$17,2,0)</f>
        <v>Marketing</v>
      </c>
    </row>
    <row r="1111" spans="1:9" x14ac:dyDescent="0.2">
      <c r="A1111">
        <v>6425</v>
      </c>
      <c r="B1111" s="7">
        <v>45936</v>
      </c>
      <c r="C1111" t="s">
        <v>425</v>
      </c>
      <c r="D1111">
        <v>155434</v>
      </c>
      <c r="E1111">
        <v>21.77</v>
      </c>
      <c r="G1111">
        <v>210</v>
      </c>
      <c r="H1111" s="7">
        <v>45934</v>
      </c>
      <c r="I1111" t="str">
        <f>VLOOKUP(G1111,Kostenstellen!$A$1:$C$17,2,0)</f>
        <v>Dev</v>
      </c>
    </row>
    <row r="1112" spans="1:9" x14ac:dyDescent="0.2">
      <c r="A1112">
        <v>6425</v>
      </c>
      <c r="B1112" s="7">
        <v>45936</v>
      </c>
      <c r="C1112" t="s">
        <v>912</v>
      </c>
      <c r="D1112">
        <v>781150118616</v>
      </c>
      <c r="E1112">
        <v>99.99</v>
      </c>
      <c r="G1112">
        <v>230</v>
      </c>
      <c r="I1112" t="str">
        <f>VLOOKUP(G1112,Kostenstellen!$A$1:$C$17,2,0)</f>
        <v>Sales</v>
      </c>
    </row>
    <row r="1113" spans="1:9" x14ac:dyDescent="0.2">
      <c r="A1113">
        <v>6425</v>
      </c>
      <c r="B1113" s="7">
        <v>45936</v>
      </c>
      <c r="C1113" t="s">
        <v>428</v>
      </c>
      <c r="D1113" t="s">
        <v>913</v>
      </c>
      <c r="E1113">
        <v>68.98</v>
      </c>
      <c r="G1113">
        <v>235</v>
      </c>
      <c r="H1113" s="7">
        <v>45933</v>
      </c>
      <c r="I1113" t="str">
        <f>VLOOKUP(G1113,Kostenstellen!$A$1:$C$17,2,0)</f>
        <v>Marketing</v>
      </c>
    </row>
    <row r="1114" spans="1:9" x14ac:dyDescent="0.2">
      <c r="A1114">
        <v>6425</v>
      </c>
      <c r="B1114" s="7">
        <v>45936</v>
      </c>
      <c r="C1114" t="s">
        <v>426</v>
      </c>
      <c r="D1114" t="s">
        <v>914</v>
      </c>
      <c r="E1114">
        <v>17.440000000000001</v>
      </c>
      <c r="G1114">
        <v>220</v>
      </c>
      <c r="I1114" t="str">
        <f>VLOOKUP(G1114,Kostenstellen!$A$1:$C$17,2,0)</f>
        <v>Product</v>
      </c>
    </row>
    <row r="1115" spans="1:9" x14ac:dyDescent="0.2">
      <c r="A1115">
        <v>6425</v>
      </c>
      <c r="B1115" s="7">
        <v>45936</v>
      </c>
      <c r="C1115" t="s">
        <v>637</v>
      </c>
      <c r="D1115" t="s">
        <v>915</v>
      </c>
      <c r="E1115">
        <v>16.579999999999998</v>
      </c>
      <c r="G1115">
        <v>235</v>
      </c>
      <c r="H1115" s="7">
        <v>45936</v>
      </c>
      <c r="I1115" t="str">
        <f>VLOOKUP(G1115,Kostenstellen!$A$1:$C$17,2,0)</f>
        <v>Marketing</v>
      </c>
    </row>
    <row r="1116" spans="1:9" x14ac:dyDescent="0.2">
      <c r="A1116">
        <v>6425</v>
      </c>
      <c r="B1116" s="7">
        <v>45936</v>
      </c>
      <c r="C1116" t="s">
        <v>621</v>
      </c>
      <c r="D1116" t="s">
        <v>916</v>
      </c>
      <c r="E1116">
        <v>87.31</v>
      </c>
      <c r="G1116">
        <v>230</v>
      </c>
      <c r="I1116" t="str">
        <f>VLOOKUP(G1116,Kostenstellen!$A$1:$C$17,2,0)</f>
        <v>Sales</v>
      </c>
    </row>
    <row r="1117" spans="1:9" x14ac:dyDescent="0.2">
      <c r="A1117">
        <v>6425</v>
      </c>
      <c r="B1117" s="7">
        <v>45936</v>
      </c>
      <c r="C1117" t="s">
        <v>562</v>
      </c>
      <c r="D1117" t="s">
        <v>917</v>
      </c>
      <c r="E1117">
        <v>47.6</v>
      </c>
      <c r="G1117">
        <v>235</v>
      </c>
      <c r="H1117" s="7">
        <v>45934</v>
      </c>
      <c r="I1117" t="str">
        <f>VLOOKUP(G1117,Kostenstellen!$A$1:$C$17,2,0)</f>
        <v>Marketing</v>
      </c>
    </row>
    <row r="1118" spans="1:9" x14ac:dyDescent="0.2">
      <c r="A1118">
        <v>6425</v>
      </c>
      <c r="B1118" s="7">
        <v>45936</v>
      </c>
      <c r="C1118" t="s">
        <v>444</v>
      </c>
      <c r="D1118" t="s">
        <v>918</v>
      </c>
      <c r="E1118">
        <v>2.77</v>
      </c>
      <c r="G1118">
        <v>235</v>
      </c>
      <c r="H1118" s="7">
        <v>45934</v>
      </c>
      <c r="I1118" t="str">
        <f>VLOOKUP(G1118,Kostenstellen!$A$1:$C$17,2,0)</f>
        <v>Marketing</v>
      </c>
    </row>
    <row r="1119" spans="1:9" x14ac:dyDescent="0.2">
      <c r="A1119">
        <v>6425</v>
      </c>
      <c r="B1119" s="7">
        <v>45936</v>
      </c>
      <c r="C1119" t="s">
        <v>434</v>
      </c>
      <c r="D1119" t="s">
        <v>919</v>
      </c>
      <c r="E1119">
        <v>112.53</v>
      </c>
      <c r="G1119">
        <v>220</v>
      </c>
      <c r="I1119" t="str">
        <f>VLOOKUP(G1119,Kostenstellen!$A$1:$C$17,2,0)</f>
        <v>Product</v>
      </c>
    </row>
    <row r="1120" spans="1:9" x14ac:dyDescent="0.2">
      <c r="A1120">
        <v>6425</v>
      </c>
      <c r="B1120" s="7">
        <v>45937</v>
      </c>
      <c r="C1120" t="s">
        <v>452</v>
      </c>
      <c r="D1120" t="s">
        <v>920</v>
      </c>
      <c r="E1120">
        <v>180</v>
      </c>
      <c r="G1120">
        <v>220</v>
      </c>
      <c r="I1120" t="str">
        <f>VLOOKUP(G1120,Kostenstellen!$A$1:$C$17,2,0)</f>
        <v>Product</v>
      </c>
    </row>
    <row r="1121" spans="1:9" x14ac:dyDescent="0.2">
      <c r="A1121">
        <v>6425</v>
      </c>
      <c r="B1121" s="7">
        <v>45937</v>
      </c>
      <c r="C1121" t="s">
        <v>921</v>
      </c>
      <c r="D1121" t="s">
        <v>922</v>
      </c>
      <c r="E1121">
        <v>31.5</v>
      </c>
      <c r="G1121">
        <v>200</v>
      </c>
      <c r="I1121" t="str">
        <f>VLOOKUP(G1121,Kostenstellen!$A$1:$C$17,2,0)</f>
        <v>aqua</v>
      </c>
    </row>
    <row r="1122" spans="1:9" x14ac:dyDescent="0.2">
      <c r="A1122">
        <v>6425</v>
      </c>
      <c r="B1122" s="7">
        <v>45938</v>
      </c>
      <c r="C1122" t="s">
        <v>444</v>
      </c>
      <c r="D1122" t="s">
        <v>923</v>
      </c>
      <c r="E1122">
        <v>1.74</v>
      </c>
      <c r="G1122">
        <v>235</v>
      </c>
      <c r="H1122" s="7">
        <v>45937</v>
      </c>
      <c r="I1122" t="str">
        <f>VLOOKUP(G1122,Kostenstellen!$A$1:$C$17,2,0)</f>
        <v>Marketing</v>
      </c>
    </row>
    <row r="1123" spans="1:9" x14ac:dyDescent="0.2">
      <c r="A1123">
        <v>6425</v>
      </c>
      <c r="B1123" s="7">
        <v>45938</v>
      </c>
      <c r="C1123" t="s">
        <v>643</v>
      </c>
      <c r="D1123" t="s">
        <v>924</v>
      </c>
      <c r="E1123">
        <v>20.84</v>
      </c>
      <c r="G1123">
        <v>230</v>
      </c>
      <c r="H1123" s="7">
        <v>45937</v>
      </c>
      <c r="I1123" t="str">
        <f>VLOOKUP(G1123,Kostenstellen!$A$1:$C$17,2,0)</f>
        <v>Sales</v>
      </c>
    </row>
    <row r="1124" spans="1:9" x14ac:dyDescent="0.2">
      <c r="A1124">
        <v>6425</v>
      </c>
      <c r="B1124" s="7">
        <v>45939</v>
      </c>
      <c r="C1124" t="s">
        <v>440</v>
      </c>
      <c r="D1124">
        <v>15729124</v>
      </c>
      <c r="E1124">
        <v>11.33</v>
      </c>
      <c r="G1124">
        <v>235</v>
      </c>
      <c r="H1124" s="7">
        <v>45938</v>
      </c>
      <c r="I1124" t="str">
        <f>VLOOKUP(G1124,Kostenstellen!$A$1:$C$17,2,0)</f>
        <v>Marketing</v>
      </c>
    </row>
    <row r="1125" spans="1:9" x14ac:dyDescent="0.2">
      <c r="A1125">
        <v>6425</v>
      </c>
      <c r="B1125" s="7">
        <v>45939</v>
      </c>
      <c r="C1125" t="s">
        <v>925</v>
      </c>
      <c r="D1125">
        <v>17599075784082</v>
      </c>
      <c r="E1125">
        <v>202.18</v>
      </c>
      <c r="G1125">
        <v>202</v>
      </c>
      <c r="I1125" t="str">
        <f>VLOOKUP(G1125,Kostenstellen!$A$1:$C$17,2,0)</f>
        <v>Recruiting</v>
      </c>
    </row>
    <row r="1126" spans="1:9" x14ac:dyDescent="0.2">
      <c r="A1126">
        <v>6425</v>
      </c>
      <c r="B1126" s="7">
        <v>45939</v>
      </c>
      <c r="C1126" t="s">
        <v>579</v>
      </c>
      <c r="D1126" t="s">
        <v>926</v>
      </c>
      <c r="E1126">
        <v>13.13</v>
      </c>
      <c r="G1126">
        <v>210</v>
      </c>
      <c r="H1126" s="7">
        <v>45938</v>
      </c>
      <c r="I1126" t="str">
        <f>VLOOKUP(G1126,Kostenstellen!$A$1:$C$17,2,0)</f>
        <v>Dev</v>
      </c>
    </row>
    <row r="1127" spans="1:9" x14ac:dyDescent="0.2">
      <c r="A1127">
        <v>6425</v>
      </c>
      <c r="B1127" s="7">
        <v>45939</v>
      </c>
      <c r="C1127" t="s">
        <v>927</v>
      </c>
      <c r="D1127" t="s">
        <v>928</v>
      </c>
      <c r="E1127">
        <v>42.89</v>
      </c>
      <c r="G1127">
        <v>235</v>
      </c>
      <c r="H1127" s="7">
        <v>45938</v>
      </c>
      <c r="I1127" t="str">
        <f>VLOOKUP(G1127,Kostenstellen!$A$1:$C$17,2,0)</f>
        <v>Marketing</v>
      </c>
    </row>
    <row r="1128" spans="1:9" x14ac:dyDescent="0.2">
      <c r="A1128">
        <v>6425</v>
      </c>
      <c r="B1128" s="7">
        <v>45940</v>
      </c>
      <c r="C1128" t="s">
        <v>764</v>
      </c>
      <c r="D1128" t="s">
        <v>929</v>
      </c>
      <c r="E1128">
        <v>87.04</v>
      </c>
      <c r="G1128">
        <v>230</v>
      </c>
      <c r="H1128" s="7">
        <v>45939</v>
      </c>
      <c r="I1128" t="str">
        <f>VLOOKUP(G1128,Kostenstellen!$A$1:$C$17,2,0)</f>
        <v>Sales</v>
      </c>
    </row>
    <row r="1129" spans="1:9" x14ac:dyDescent="0.2">
      <c r="A1129">
        <v>6425</v>
      </c>
      <c r="B1129" s="7">
        <v>45940</v>
      </c>
      <c r="C1129" t="s">
        <v>875</v>
      </c>
      <c r="D1129" t="s">
        <v>930</v>
      </c>
      <c r="E1129">
        <v>43.07</v>
      </c>
      <c r="G1129">
        <v>220</v>
      </c>
      <c r="I1129" t="str">
        <f>VLOOKUP(G1129,Kostenstellen!$A$1:$C$17,2,0)</f>
        <v>Product</v>
      </c>
    </row>
    <row r="1130" spans="1:9" x14ac:dyDescent="0.2">
      <c r="A1130">
        <v>6425</v>
      </c>
      <c r="B1130" s="7">
        <v>45940</v>
      </c>
      <c r="C1130" t="s">
        <v>583</v>
      </c>
      <c r="D1130" t="s">
        <v>931</v>
      </c>
      <c r="E1130">
        <v>41.32</v>
      </c>
      <c r="G1130">
        <v>235</v>
      </c>
      <c r="I1130" t="str">
        <f>VLOOKUP(G1130,Kostenstellen!$A$1:$C$17,2,0)</f>
        <v>Marketing</v>
      </c>
    </row>
    <row r="1131" spans="1:9" x14ac:dyDescent="0.2">
      <c r="A1131">
        <v>6425</v>
      </c>
      <c r="B1131" s="7">
        <v>45940</v>
      </c>
      <c r="C1131" t="s">
        <v>526</v>
      </c>
      <c r="D1131" t="s">
        <v>932</v>
      </c>
      <c r="E1131">
        <v>7.46</v>
      </c>
      <c r="G1131">
        <v>235</v>
      </c>
      <c r="H1131" s="7">
        <v>45939</v>
      </c>
      <c r="I1131" t="str">
        <f>VLOOKUP(G1131,Kostenstellen!$A$1:$C$17,2,0)</f>
        <v>Marketing</v>
      </c>
    </row>
    <row r="1132" spans="1:9" x14ac:dyDescent="0.2">
      <c r="A1132">
        <v>6425</v>
      </c>
      <c r="B1132" s="7">
        <v>45940</v>
      </c>
      <c r="C1132" t="s">
        <v>461</v>
      </c>
      <c r="D1132" t="s">
        <v>933</v>
      </c>
      <c r="E1132">
        <v>123.38</v>
      </c>
      <c r="G1132">
        <v>210</v>
      </c>
      <c r="H1132" s="7">
        <v>45939</v>
      </c>
      <c r="I1132" t="str">
        <f>VLOOKUP(G1132,Kostenstellen!$A$1:$C$17,2,0)</f>
        <v>Dev</v>
      </c>
    </row>
    <row r="1133" spans="1:9" x14ac:dyDescent="0.2">
      <c r="A1133">
        <v>6425</v>
      </c>
      <c r="B1133" s="7">
        <v>45943</v>
      </c>
      <c r="C1133" t="s">
        <v>771</v>
      </c>
      <c r="D1133" t="s">
        <v>934</v>
      </c>
      <c r="E1133">
        <v>11.72</v>
      </c>
      <c r="G1133">
        <v>230</v>
      </c>
      <c r="H1133" s="7">
        <v>45942</v>
      </c>
      <c r="I1133" t="str">
        <f>VLOOKUP(G1133,Kostenstellen!$A$1:$C$17,2,0)</f>
        <v>Sales</v>
      </c>
    </row>
    <row r="1134" spans="1:9" x14ac:dyDescent="0.2">
      <c r="A1134">
        <v>6425</v>
      </c>
      <c r="B1134" s="7">
        <v>45943</v>
      </c>
      <c r="C1134" t="s">
        <v>768</v>
      </c>
      <c r="D1134" s="8" t="s">
        <v>935</v>
      </c>
      <c r="E1134">
        <v>83.05</v>
      </c>
      <c r="G1134">
        <v>230</v>
      </c>
      <c r="H1134" s="7">
        <v>45940</v>
      </c>
      <c r="I1134" t="str">
        <f>VLOOKUP(G1134,Kostenstellen!$A$1:$C$17,2,0)</f>
        <v>Sales</v>
      </c>
    </row>
    <row r="1135" spans="1:9" x14ac:dyDescent="0.2">
      <c r="A1135">
        <v>6425</v>
      </c>
      <c r="B1135" s="7">
        <v>45944</v>
      </c>
      <c r="C1135" t="s">
        <v>444</v>
      </c>
      <c r="D1135" t="s">
        <v>936</v>
      </c>
      <c r="E1135">
        <v>52.59</v>
      </c>
      <c r="G1135">
        <v>235</v>
      </c>
      <c r="H1135" s="7">
        <v>45943</v>
      </c>
      <c r="I1135" t="str">
        <f>VLOOKUP(G1135,Kostenstellen!$A$1:$C$17,2,0)</f>
        <v>Marketing</v>
      </c>
    </row>
    <row r="1136" spans="1:9" x14ac:dyDescent="0.2">
      <c r="A1136">
        <v>6425</v>
      </c>
      <c r="B1136" s="7">
        <v>45946</v>
      </c>
      <c r="C1136" t="s">
        <v>446</v>
      </c>
      <c r="D1136" t="s">
        <v>937</v>
      </c>
      <c r="E1136">
        <v>31.65</v>
      </c>
      <c r="G1136">
        <v>210</v>
      </c>
      <c r="H1136" s="7">
        <v>45946</v>
      </c>
      <c r="I1136" t="str">
        <f>VLOOKUP(G1136,Kostenstellen!$A$1:$C$17,2,0)</f>
        <v>Dev</v>
      </c>
    </row>
    <row r="1137" spans="1:9" x14ac:dyDescent="0.2">
      <c r="A1137">
        <v>6425</v>
      </c>
      <c r="B1137" s="7">
        <v>45946</v>
      </c>
      <c r="C1137" t="s">
        <v>535</v>
      </c>
      <c r="D1137" t="s">
        <v>938</v>
      </c>
      <c r="E1137">
        <v>28.56</v>
      </c>
      <c r="G1137">
        <v>235</v>
      </c>
      <c r="H1137" s="7">
        <v>45946</v>
      </c>
      <c r="I1137" t="str">
        <f>VLOOKUP(G1137,Kostenstellen!$A$1:$C$17,2,0)</f>
        <v>Marketing</v>
      </c>
    </row>
    <row r="1138" spans="1:9" x14ac:dyDescent="0.2">
      <c r="A1138">
        <v>6425</v>
      </c>
      <c r="B1138" s="7">
        <v>45947</v>
      </c>
      <c r="C1138" t="s">
        <v>552</v>
      </c>
      <c r="D1138" t="s">
        <v>939</v>
      </c>
      <c r="E1138">
        <v>23.25</v>
      </c>
      <c r="G1138">
        <v>235</v>
      </c>
      <c r="H1138" s="7">
        <v>45946</v>
      </c>
      <c r="I1138" t="str">
        <f>VLOOKUP(G1138,Kostenstellen!$A$1:$C$17,2,0)</f>
        <v>Marketing</v>
      </c>
    </row>
    <row r="1139" spans="1:9" x14ac:dyDescent="0.2">
      <c r="A1139">
        <v>6425</v>
      </c>
      <c r="B1139" s="7">
        <v>45947</v>
      </c>
      <c r="C1139" t="s">
        <v>940</v>
      </c>
      <c r="D1139" t="s">
        <v>941</v>
      </c>
      <c r="E1139">
        <v>16.71</v>
      </c>
      <c r="G1139">
        <v>235</v>
      </c>
      <c r="I1139" t="str">
        <f>VLOOKUP(G1139,Kostenstellen!$A$1:$C$17,2,0)</f>
        <v>Marketing</v>
      </c>
    </row>
    <row r="1140" spans="1:9" x14ac:dyDescent="0.2">
      <c r="A1140">
        <v>6425</v>
      </c>
      <c r="B1140" s="7">
        <v>45947</v>
      </c>
      <c r="C1140" t="s">
        <v>712</v>
      </c>
      <c r="D1140" t="s">
        <v>942</v>
      </c>
      <c r="E1140">
        <v>130</v>
      </c>
      <c r="G1140">
        <v>230</v>
      </c>
      <c r="H1140" s="7">
        <v>45946</v>
      </c>
      <c r="I1140" t="str">
        <f>VLOOKUP(G1140,Kostenstellen!$A$1:$C$17,2,0)</f>
        <v>Sales</v>
      </c>
    </row>
    <row r="1141" spans="1:9" x14ac:dyDescent="0.2">
      <c r="A1141">
        <v>6425</v>
      </c>
      <c r="B1141" s="7">
        <v>45950</v>
      </c>
      <c r="C1141" t="s">
        <v>943</v>
      </c>
      <c r="D1141">
        <v>781155278334</v>
      </c>
      <c r="E1141">
        <v>140.49</v>
      </c>
      <c r="G1141">
        <v>202</v>
      </c>
      <c r="I1141" t="str">
        <f>VLOOKUP(G1141,Kostenstellen!$A$1:$C$17,2,0)</f>
        <v>Recruiting</v>
      </c>
    </row>
    <row r="1142" spans="1:9" x14ac:dyDescent="0.2">
      <c r="A1142">
        <v>6425</v>
      </c>
      <c r="B1142" s="7">
        <v>45950</v>
      </c>
      <c r="C1142" t="s">
        <v>436</v>
      </c>
      <c r="D1142" t="s">
        <v>944</v>
      </c>
      <c r="E1142">
        <v>187.77</v>
      </c>
      <c r="G1142">
        <v>220</v>
      </c>
      <c r="H1142" s="7">
        <v>45936</v>
      </c>
      <c r="I1142" t="str">
        <f>VLOOKUP(G1142,Kostenstellen!$A$1:$C$17,2,0)</f>
        <v>Product</v>
      </c>
    </row>
    <row r="1143" spans="1:9" x14ac:dyDescent="0.2">
      <c r="A1143">
        <v>6425</v>
      </c>
      <c r="B1143" s="7">
        <v>45950</v>
      </c>
      <c r="C1143" t="s">
        <v>449</v>
      </c>
      <c r="D1143" s="8">
        <v>8.9149480000000006E-22</v>
      </c>
      <c r="E1143">
        <v>14</v>
      </c>
      <c r="G1143">
        <v>220</v>
      </c>
      <c r="I1143" t="str">
        <f>VLOOKUP(G1143,Kostenstellen!$A$1:$C$17,2,0)</f>
        <v>Product</v>
      </c>
    </row>
    <row r="1144" spans="1:9" x14ac:dyDescent="0.2">
      <c r="A1144">
        <v>6425</v>
      </c>
      <c r="B1144" s="7">
        <v>45950</v>
      </c>
      <c r="C1144" t="s">
        <v>716</v>
      </c>
      <c r="D1144" t="s">
        <v>945</v>
      </c>
      <c r="E1144">
        <v>25.38</v>
      </c>
      <c r="G1144">
        <v>235</v>
      </c>
      <c r="H1144" s="7">
        <v>45949</v>
      </c>
      <c r="I1144" t="str">
        <f>VLOOKUP(G1144,Kostenstellen!$A$1:$C$17,2,0)</f>
        <v>Marketing</v>
      </c>
    </row>
    <row r="1145" spans="1:9" x14ac:dyDescent="0.2">
      <c r="A1145">
        <v>6425</v>
      </c>
      <c r="B1145" s="7">
        <v>45950</v>
      </c>
      <c r="C1145" t="s">
        <v>495</v>
      </c>
      <c r="D1145" t="s">
        <v>946</v>
      </c>
      <c r="E1145">
        <v>312</v>
      </c>
      <c r="G1145">
        <v>230</v>
      </c>
      <c r="H1145" s="7">
        <v>45947</v>
      </c>
      <c r="I1145" t="str">
        <f>VLOOKUP(G1145,Kostenstellen!$A$1:$C$17,2,0)</f>
        <v>Sales</v>
      </c>
    </row>
    <row r="1146" spans="1:9" x14ac:dyDescent="0.2">
      <c r="A1146">
        <v>6425</v>
      </c>
      <c r="B1146" s="7">
        <v>45951</v>
      </c>
      <c r="C1146" t="s">
        <v>537</v>
      </c>
      <c r="D1146" t="s">
        <v>947</v>
      </c>
      <c r="E1146">
        <v>15.62</v>
      </c>
      <c r="G1146">
        <v>235</v>
      </c>
      <c r="I1146" t="str">
        <f>VLOOKUP(G1146,Kostenstellen!$A$1:$C$17,2,0)</f>
        <v>Marketing</v>
      </c>
    </row>
    <row r="1147" spans="1:9" x14ac:dyDescent="0.2">
      <c r="A1147">
        <v>6425</v>
      </c>
      <c r="B1147" s="7">
        <v>45951</v>
      </c>
      <c r="C1147" t="s">
        <v>452</v>
      </c>
      <c r="D1147" t="s">
        <v>948</v>
      </c>
      <c r="E1147">
        <v>18</v>
      </c>
      <c r="G1147">
        <v>235</v>
      </c>
      <c r="H1147" s="7">
        <v>45950</v>
      </c>
      <c r="I1147" t="str">
        <f>VLOOKUP(G1147,Kostenstellen!$A$1:$C$17,2,0)</f>
        <v>Marketing</v>
      </c>
    </row>
    <row r="1148" spans="1:9" x14ac:dyDescent="0.2">
      <c r="A1148">
        <v>6425</v>
      </c>
      <c r="B1148" s="7">
        <v>45951</v>
      </c>
      <c r="C1148" t="s">
        <v>444</v>
      </c>
      <c r="D1148" t="s">
        <v>949</v>
      </c>
      <c r="E1148">
        <v>7.73</v>
      </c>
      <c r="G1148">
        <v>235</v>
      </c>
      <c r="H1148" s="7">
        <v>45950</v>
      </c>
      <c r="I1148" t="str">
        <f>VLOOKUP(G1148,Kostenstellen!$A$1:$C$17,2,0)</f>
        <v>Marketing</v>
      </c>
    </row>
    <row r="1149" spans="1:9" x14ac:dyDescent="0.2">
      <c r="A1149">
        <v>6425</v>
      </c>
      <c r="B1149" s="7">
        <v>45951</v>
      </c>
      <c r="C1149" t="s">
        <v>501</v>
      </c>
      <c r="D1149" t="s">
        <v>950</v>
      </c>
      <c r="E1149">
        <v>8.75</v>
      </c>
      <c r="G1149">
        <v>235</v>
      </c>
      <c r="H1149" s="7">
        <v>45949</v>
      </c>
      <c r="I1149" t="str">
        <f>VLOOKUP(G1149,Kostenstellen!$A$1:$C$17,2,0)</f>
        <v>Marketing</v>
      </c>
    </row>
    <row r="1150" spans="1:9" x14ac:dyDescent="0.2">
      <c r="A1150">
        <v>6425</v>
      </c>
      <c r="B1150" s="7">
        <v>45951</v>
      </c>
      <c r="C1150" t="s">
        <v>501</v>
      </c>
      <c r="D1150" t="s">
        <v>951</v>
      </c>
      <c r="E1150">
        <v>8.75</v>
      </c>
      <c r="G1150">
        <v>235</v>
      </c>
      <c r="H1150" s="7">
        <v>45949</v>
      </c>
      <c r="I1150" t="str">
        <f>VLOOKUP(G1150,Kostenstellen!$A$1:$C$17,2,0)</f>
        <v>Marketing</v>
      </c>
    </row>
    <row r="1151" spans="1:9" x14ac:dyDescent="0.2">
      <c r="A1151">
        <v>6425</v>
      </c>
      <c r="B1151" s="7">
        <v>45952</v>
      </c>
      <c r="C1151" t="s">
        <v>552</v>
      </c>
      <c r="D1151" t="s">
        <v>952</v>
      </c>
      <c r="E1151">
        <v>30.62</v>
      </c>
      <c r="G1151">
        <v>235</v>
      </c>
      <c r="H1151" s="7">
        <v>45951</v>
      </c>
      <c r="I1151" t="str">
        <f>VLOOKUP(G1151,Kostenstellen!$A$1:$C$17,2,0)</f>
        <v>Marketing</v>
      </c>
    </row>
    <row r="1152" spans="1:9" x14ac:dyDescent="0.2">
      <c r="A1152">
        <v>6425</v>
      </c>
      <c r="B1152" s="7">
        <v>45952</v>
      </c>
      <c r="C1152" t="s">
        <v>495</v>
      </c>
      <c r="D1152" t="s">
        <v>953</v>
      </c>
      <c r="E1152">
        <v>104.28</v>
      </c>
      <c r="G1152">
        <v>230</v>
      </c>
      <c r="H1152" s="7">
        <v>45951</v>
      </c>
      <c r="I1152" t="str">
        <f>VLOOKUP(G1152,Kostenstellen!$A$1:$C$17,2,0)</f>
        <v>Sales</v>
      </c>
    </row>
    <row r="1153" spans="1:9" x14ac:dyDescent="0.2">
      <c r="A1153">
        <v>6425</v>
      </c>
      <c r="B1153" s="7">
        <v>45957</v>
      </c>
      <c r="C1153" t="s">
        <v>454</v>
      </c>
      <c r="D1153" t="s">
        <v>954</v>
      </c>
      <c r="E1153">
        <v>87.93</v>
      </c>
      <c r="G1153">
        <v>210</v>
      </c>
      <c r="H1153" s="7">
        <v>45955</v>
      </c>
      <c r="I1153" t="str">
        <f>VLOOKUP(G1153,Kostenstellen!$A$1:$C$17,2,0)</f>
        <v>Dev</v>
      </c>
    </row>
    <row r="1154" spans="1:9" x14ac:dyDescent="0.2">
      <c r="A1154">
        <v>6425</v>
      </c>
      <c r="B1154" s="7">
        <v>45957</v>
      </c>
      <c r="C1154" t="s">
        <v>456</v>
      </c>
      <c r="D1154" s="8" t="s">
        <v>955</v>
      </c>
      <c r="E1154">
        <v>66.83</v>
      </c>
      <c r="G1154">
        <v>210</v>
      </c>
      <c r="H1154" s="7">
        <v>45956</v>
      </c>
      <c r="I1154" t="str">
        <f>VLOOKUP(G1154,Kostenstellen!$A$1:$C$17,2,0)</f>
        <v>Dev</v>
      </c>
    </row>
    <row r="1155" spans="1:9" x14ac:dyDescent="0.2">
      <c r="A1155">
        <v>6425</v>
      </c>
      <c r="B1155" s="7">
        <v>45957</v>
      </c>
      <c r="C1155" t="s">
        <v>731</v>
      </c>
      <c r="D1155" t="s">
        <v>956</v>
      </c>
      <c r="E1155">
        <v>37.15</v>
      </c>
      <c r="G1155">
        <v>230</v>
      </c>
      <c r="I1155" t="str">
        <f>VLOOKUP(G1155,Kostenstellen!$A$1:$C$17,2,0)</f>
        <v>Sales</v>
      </c>
    </row>
    <row r="1156" spans="1:9" x14ac:dyDescent="0.2">
      <c r="A1156">
        <v>6425</v>
      </c>
      <c r="B1156" s="7">
        <v>45958</v>
      </c>
      <c r="C1156" t="s">
        <v>442</v>
      </c>
      <c r="D1156" t="s">
        <v>957</v>
      </c>
      <c r="E1156">
        <v>8.7899999999999991</v>
      </c>
      <c r="G1156">
        <v>210</v>
      </c>
      <c r="H1156" s="7">
        <v>45957</v>
      </c>
      <c r="I1156" t="str">
        <f>VLOOKUP(G1156,Kostenstellen!$A$1:$C$17,2,0)</f>
        <v>Dev</v>
      </c>
    </row>
    <row r="1157" spans="1:9" x14ac:dyDescent="0.2">
      <c r="A1157">
        <v>6425</v>
      </c>
      <c r="B1157" s="7">
        <v>45958</v>
      </c>
      <c r="C1157" t="s">
        <v>958</v>
      </c>
      <c r="D1157" t="s">
        <v>959</v>
      </c>
      <c r="E1157">
        <v>900</v>
      </c>
      <c r="G1157">
        <v>200</v>
      </c>
      <c r="I1157" t="str">
        <f>VLOOKUP(G1157,Kostenstellen!$A$1:$C$17,2,0)</f>
        <v>aqua</v>
      </c>
    </row>
    <row r="1158" spans="1:9" x14ac:dyDescent="0.2">
      <c r="A1158">
        <v>6425</v>
      </c>
      <c r="B1158" s="7">
        <v>45959</v>
      </c>
      <c r="C1158" t="s">
        <v>430</v>
      </c>
      <c r="D1158" t="s">
        <v>960</v>
      </c>
      <c r="E1158">
        <v>17.54</v>
      </c>
      <c r="G1158">
        <v>235</v>
      </c>
      <c r="H1158" s="7">
        <v>45958</v>
      </c>
      <c r="I1158" t="str">
        <f>VLOOKUP(G1158,Kostenstellen!$A$1:$C$17,2,0)</f>
        <v>Marketing</v>
      </c>
    </row>
    <row r="1159" spans="1:9" x14ac:dyDescent="0.2">
      <c r="A1159">
        <v>6425</v>
      </c>
      <c r="B1159" s="7">
        <v>45959</v>
      </c>
      <c r="C1159" t="s">
        <v>430</v>
      </c>
      <c r="D1159" t="s">
        <v>961</v>
      </c>
      <c r="E1159">
        <v>17.559999999999999</v>
      </c>
      <c r="G1159">
        <v>220</v>
      </c>
      <c r="H1159" s="7">
        <v>45958</v>
      </c>
      <c r="I1159" t="str">
        <f>VLOOKUP(G1159,Kostenstellen!$A$1:$C$17,2,0)</f>
        <v>Product</v>
      </c>
    </row>
    <row r="1160" spans="1:9" x14ac:dyDescent="0.2">
      <c r="A1160">
        <v>6425</v>
      </c>
      <c r="B1160" s="7">
        <v>45959</v>
      </c>
      <c r="C1160" t="s">
        <v>581</v>
      </c>
      <c r="D1160" t="s">
        <v>962</v>
      </c>
      <c r="E1160">
        <v>52.2</v>
      </c>
      <c r="G1160">
        <v>235</v>
      </c>
      <c r="H1160" s="7">
        <v>45958</v>
      </c>
      <c r="I1160" t="str">
        <f>VLOOKUP(G1160,Kostenstellen!$A$1:$C$17,2,0)</f>
        <v>Marketing</v>
      </c>
    </row>
    <row r="1161" spans="1:9" x14ac:dyDescent="0.2">
      <c r="A1161">
        <v>6425</v>
      </c>
      <c r="B1161" s="7">
        <v>45959</v>
      </c>
      <c r="C1161" t="s">
        <v>562</v>
      </c>
      <c r="D1161" t="s">
        <v>963</v>
      </c>
      <c r="E1161">
        <v>52.68</v>
      </c>
      <c r="G1161">
        <v>220</v>
      </c>
      <c r="H1161" s="7">
        <v>45958</v>
      </c>
      <c r="I1161" t="str">
        <f>VLOOKUP(G1161,Kostenstellen!$A$1:$C$17,2,0)</f>
        <v>Product</v>
      </c>
    </row>
    <row r="1162" spans="1:9" x14ac:dyDescent="0.2">
      <c r="A1162">
        <v>6425</v>
      </c>
      <c r="B1162" s="7">
        <v>45960</v>
      </c>
      <c r="C1162" t="s">
        <v>442</v>
      </c>
      <c r="D1162" t="s">
        <v>964</v>
      </c>
      <c r="E1162">
        <v>490.01</v>
      </c>
      <c r="G1162">
        <v>210</v>
      </c>
      <c r="H1162" s="7">
        <v>45959</v>
      </c>
      <c r="I1162" t="str">
        <f>VLOOKUP(G1162,Kostenstellen!$A$1:$C$17,2,0)</f>
        <v>Dev</v>
      </c>
    </row>
    <row r="1163" spans="1:9" x14ac:dyDescent="0.2">
      <c r="A1163">
        <v>6425</v>
      </c>
      <c r="B1163" s="7">
        <v>45961</v>
      </c>
      <c r="C1163" t="s">
        <v>615</v>
      </c>
      <c r="D1163" t="s">
        <v>352</v>
      </c>
      <c r="E1163">
        <v>224.8</v>
      </c>
      <c r="G1163">
        <v>210</v>
      </c>
      <c r="I1163" t="str">
        <f>VLOOKUP(G1163,Kostenstellen!$A$1:$C$17,2,0)</f>
        <v>Dev</v>
      </c>
    </row>
    <row r="1164" spans="1:9" x14ac:dyDescent="0.2">
      <c r="A1164">
        <v>6425</v>
      </c>
      <c r="B1164" s="7">
        <v>45961</v>
      </c>
      <c r="C1164" t="s">
        <v>800</v>
      </c>
      <c r="D1164" t="s">
        <v>352</v>
      </c>
      <c r="E1164">
        <v>86.29</v>
      </c>
      <c r="G1164">
        <v>210</v>
      </c>
      <c r="I1164" t="str">
        <f>VLOOKUP(G1164,Kostenstellen!$A$1:$C$17,2,0)</f>
        <v>Dev</v>
      </c>
    </row>
    <row r="1165" spans="1:9" x14ac:dyDescent="0.2">
      <c r="A1165">
        <v>6425</v>
      </c>
      <c r="B1165" s="7">
        <v>45961</v>
      </c>
      <c r="C1165" t="s">
        <v>465</v>
      </c>
      <c r="D1165">
        <v>20255000001</v>
      </c>
      <c r="E1165">
        <v>800</v>
      </c>
      <c r="G1165">
        <v>200</v>
      </c>
      <c r="I1165" t="str">
        <f>VLOOKUP(G1165,Kostenstellen!$A$1:$C$17,2,0)</f>
        <v>aqua</v>
      </c>
    </row>
    <row r="1166" spans="1:9" x14ac:dyDescent="0.2">
      <c r="A1166">
        <v>6425</v>
      </c>
      <c r="B1166" s="7">
        <v>45961</v>
      </c>
      <c r="C1166" t="s">
        <v>466</v>
      </c>
      <c r="D1166" t="s">
        <v>965</v>
      </c>
      <c r="E1166">
        <v>16.809999999999999</v>
      </c>
      <c r="G1166">
        <v>210</v>
      </c>
      <c r="H1166" s="7">
        <v>45960</v>
      </c>
      <c r="I1166" t="str">
        <f>VLOOKUP(G1166,Kostenstellen!$A$1:$C$17,2,0)</f>
        <v>Dev</v>
      </c>
    </row>
    <row r="1167" spans="1:9" x14ac:dyDescent="0.2">
      <c r="A1167">
        <v>6425</v>
      </c>
      <c r="B1167" s="7">
        <v>45964</v>
      </c>
      <c r="C1167" t="s">
        <v>966</v>
      </c>
      <c r="D1167">
        <v>202511010480</v>
      </c>
      <c r="E1167">
        <v>34.53</v>
      </c>
      <c r="G1167">
        <v>230</v>
      </c>
      <c r="I1167" t="str">
        <f>VLOOKUP(G1167,Kostenstellen!$A$1:$C$17,2,0)</f>
        <v>Sales</v>
      </c>
    </row>
    <row r="1168" spans="1:9" x14ac:dyDescent="0.2">
      <c r="A1168">
        <v>6425</v>
      </c>
      <c r="B1168" s="7">
        <v>45964</v>
      </c>
      <c r="C1168" t="s">
        <v>967</v>
      </c>
      <c r="D1168" t="s">
        <v>968</v>
      </c>
      <c r="E1168">
        <v>260</v>
      </c>
      <c r="G1168">
        <v>230</v>
      </c>
      <c r="I1168" t="str">
        <f>VLOOKUP(G1168,Kostenstellen!$A$1:$C$17,2,0)</f>
        <v>Sales</v>
      </c>
    </row>
    <row r="1169" spans="1:9" x14ac:dyDescent="0.2">
      <c r="A1169">
        <v>6425</v>
      </c>
      <c r="B1169" s="7">
        <v>45964</v>
      </c>
      <c r="C1169" t="s">
        <v>470</v>
      </c>
      <c r="D1169" t="s">
        <v>969</v>
      </c>
      <c r="E1169">
        <v>540</v>
      </c>
      <c r="G1169">
        <v>210</v>
      </c>
      <c r="H1169" s="7">
        <v>45964</v>
      </c>
      <c r="I1169" t="str">
        <f>VLOOKUP(G1169,Kostenstellen!$A$1:$C$17,2,0)</f>
        <v>Dev</v>
      </c>
    </row>
    <row r="1170" spans="1:9" x14ac:dyDescent="0.2">
      <c r="A1170">
        <v>6425</v>
      </c>
      <c r="B1170" s="7">
        <v>45964</v>
      </c>
      <c r="C1170" t="s">
        <v>430</v>
      </c>
      <c r="D1170" t="s">
        <v>970</v>
      </c>
      <c r="E1170">
        <v>18.399999999999999</v>
      </c>
      <c r="G1170">
        <v>235</v>
      </c>
      <c r="H1170" s="7">
        <v>45962</v>
      </c>
      <c r="I1170" t="str">
        <f>VLOOKUP(G1170,Kostenstellen!$A$1:$C$17,2,0)</f>
        <v>Marketing</v>
      </c>
    </row>
    <row r="1171" spans="1:9" x14ac:dyDescent="0.2">
      <c r="A1171">
        <v>6425</v>
      </c>
      <c r="B1171" s="7">
        <v>45964</v>
      </c>
      <c r="C1171" t="s">
        <v>971</v>
      </c>
      <c r="D1171" t="s">
        <v>972</v>
      </c>
      <c r="E1171">
        <v>34.46</v>
      </c>
      <c r="G1171">
        <v>235</v>
      </c>
      <c r="I1171" t="str">
        <f>VLOOKUP(G1171,Kostenstellen!$A$1:$C$17,2,0)</f>
        <v>Marketing</v>
      </c>
    </row>
    <row r="1172" spans="1:9" x14ac:dyDescent="0.2">
      <c r="A1172">
        <v>6425</v>
      </c>
      <c r="B1172" s="7">
        <v>45964</v>
      </c>
      <c r="C1172" t="s">
        <v>420</v>
      </c>
      <c r="D1172" t="s">
        <v>973</v>
      </c>
      <c r="E1172">
        <v>69.94</v>
      </c>
      <c r="G1172">
        <v>210</v>
      </c>
      <c r="H1172" s="7">
        <v>45964</v>
      </c>
      <c r="I1172" t="str">
        <f>VLOOKUP(G1172,Kostenstellen!$A$1:$C$17,2,0)</f>
        <v>Dev</v>
      </c>
    </row>
    <row r="1173" spans="1:9" x14ac:dyDescent="0.2">
      <c r="A1173">
        <v>6425</v>
      </c>
      <c r="B1173" s="7">
        <v>45964</v>
      </c>
      <c r="C1173" t="s">
        <v>910</v>
      </c>
      <c r="D1173" t="s">
        <v>974</v>
      </c>
      <c r="E1173">
        <v>17.98</v>
      </c>
      <c r="G1173">
        <v>235</v>
      </c>
      <c r="I1173" t="str">
        <f>VLOOKUP(G1173,Kostenstellen!$A$1:$C$17,2,0)</f>
        <v>Marketing</v>
      </c>
    </row>
    <row r="1174" spans="1:9" x14ac:dyDescent="0.2">
      <c r="A1174">
        <v>6425</v>
      </c>
      <c r="B1174" s="7">
        <v>45965</v>
      </c>
      <c r="C1174" t="s">
        <v>425</v>
      </c>
      <c r="D1174">
        <v>156998</v>
      </c>
      <c r="E1174">
        <v>22.12</v>
      </c>
      <c r="G1174">
        <v>210</v>
      </c>
      <c r="H1174" s="7">
        <v>45965</v>
      </c>
      <c r="I1174" t="str">
        <f>VLOOKUP(G1174,Kostenstellen!$A$1:$C$17,2,0)</f>
        <v>Dev</v>
      </c>
    </row>
    <row r="1175" spans="1:9" x14ac:dyDescent="0.2">
      <c r="A1175">
        <v>6425</v>
      </c>
      <c r="B1175" s="7">
        <v>45965</v>
      </c>
      <c r="C1175" t="s">
        <v>975</v>
      </c>
      <c r="D1175">
        <v>162614</v>
      </c>
      <c r="E1175">
        <v>150</v>
      </c>
      <c r="G1175">
        <v>200</v>
      </c>
      <c r="I1175" t="str">
        <f>VLOOKUP(G1175,Kostenstellen!$A$1:$C$17,2,0)</f>
        <v>aqua</v>
      </c>
    </row>
    <row r="1176" spans="1:9" x14ac:dyDescent="0.2">
      <c r="A1176">
        <v>6425</v>
      </c>
      <c r="B1176" s="7">
        <v>45965</v>
      </c>
      <c r="C1176" t="s">
        <v>428</v>
      </c>
      <c r="D1176" t="s">
        <v>976</v>
      </c>
      <c r="E1176">
        <v>69.94</v>
      </c>
      <c r="G1176">
        <v>235</v>
      </c>
      <c r="H1176" s="7">
        <v>45981</v>
      </c>
      <c r="I1176" t="str">
        <f>VLOOKUP(G1176,Kostenstellen!$A$1:$C$17,2,0)</f>
        <v>Marketing</v>
      </c>
    </row>
    <row r="1177" spans="1:9" x14ac:dyDescent="0.2">
      <c r="A1177">
        <v>6425</v>
      </c>
      <c r="B1177" s="7">
        <v>45965</v>
      </c>
      <c r="C1177" t="s">
        <v>426</v>
      </c>
      <c r="D1177" t="s">
        <v>977</v>
      </c>
      <c r="E1177">
        <v>17.739999999999998</v>
      </c>
      <c r="G1177">
        <v>220</v>
      </c>
      <c r="H1177" s="7">
        <v>45964</v>
      </c>
      <c r="I1177" t="str">
        <f>VLOOKUP(G1177,Kostenstellen!$A$1:$C$17,2,0)</f>
        <v>Product</v>
      </c>
    </row>
    <row r="1178" spans="1:9" x14ac:dyDescent="0.2">
      <c r="A1178">
        <v>6425</v>
      </c>
      <c r="B1178" s="7">
        <v>45965</v>
      </c>
      <c r="C1178" t="s">
        <v>621</v>
      </c>
      <c r="D1178" t="s">
        <v>978</v>
      </c>
      <c r="E1178">
        <v>88.53</v>
      </c>
      <c r="G1178">
        <v>230</v>
      </c>
      <c r="H1178" s="7">
        <v>45964</v>
      </c>
      <c r="I1178" t="str">
        <f>VLOOKUP(G1178,Kostenstellen!$A$1:$C$17,2,0)</f>
        <v>Sales</v>
      </c>
    </row>
    <row r="1179" spans="1:9" x14ac:dyDescent="0.2">
      <c r="A1179">
        <v>6425</v>
      </c>
      <c r="B1179" s="7">
        <v>45965</v>
      </c>
      <c r="C1179" t="s">
        <v>979</v>
      </c>
      <c r="D1179" t="s">
        <v>978</v>
      </c>
      <c r="E1179">
        <v>99.99</v>
      </c>
      <c r="G1179">
        <v>230</v>
      </c>
      <c r="H1179" s="7">
        <v>45964</v>
      </c>
      <c r="I1179" t="str">
        <f>VLOOKUP(G1179,Kostenstellen!$A$1:$C$17,2,0)</f>
        <v>Sales</v>
      </c>
    </row>
    <row r="1180" spans="1:9" x14ac:dyDescent="0.2">
      <c r="A1180">
        <v>6425</v>
      </c>
      <c r="B1180" s="7">
        <v>45966</v>
      </c>
      <c r="C1180" t="s">
        <v>562</v>
      </c>
      <c r="D1180" t="s">
        <v>980</v>
      </c>
      <c r="E1180">
        <v>47.6</v>
      </c>
      <c r="G1180">
        <v>235</v>
      </c>
      <c r="H1180" s="7">
        <v>45965</v>
      </c>
      <c r="I1180" t="str">
        <f>VLOOKUP(G1180,Kostenstellen!$A$1:$C$17,2,0)</f>
        <v>Marketing</v>
      </c>
    </row>
    <row r="1181" spans="1:9" x14ac:dyDescent="0.2">
      <c r="A1181">
        <v>6425</v>
      </c>
      <c r="B1181" s="7">
        <v>45966</v>
      </c>
      <c r="C1181" t="s">
        <v>434</v>
      </c>
      <c r="D1181" t="s">
        <v>981</v>
      </c>
      <c r="E1181">
        <v>114.37</v>
      </c>
      <c r="G1181">
        <v>220</v>
      </c>
      <c r="H1181" s="7">
        <v>45965</v>
      </c>
      <c r="I1181" t="str">
        <f>VLOOKUP(G1181,Kostenstellen!$A$1:$C$17,2,0)</f>
        <v>Product</v>
      </c>
    </row>
    <row r="1182" spans="1:9" x14ac:dyDescent="0.2">
      <c r="A1182">
        <v>6425</v>
      </c>
      <c r="B1182" s="7">
        <v>45967</v>
      </c>
      <c r="C1182" t="s">
        <v>637</v>
      </c>
      <c r="D1182" t="s">
        <v>982</v>
      </c>
      <c r="E1182">
        <v>16.899999999999999</v>
      </c>
      <c r="G1182">
        <v>235</v>
      </c>
      <c r="H1182" s="7">
        <v>45967</v>
      </c>
      <c r="I1182" t="str">
        <f>VLOOKUP(G1182,Kostenstellen!$A$1:$C$17,2,0)</f>
        <v>Marketing</v>
      </c>
    </row>
    <row r="1183" spans="1:9" x14ac:dyDescent="0.2">
      <c r="A1183">
        <v>6425</v>
      </c>
      <c r="B1183" s="7">
        <v>45968</v>
      </c>
      <c r="C1183" t="s">
        <v>436</v>
      </c>
      <c r="D1183" t="s">
        <v>983</v>
      </c>
      <c r="E1183">
        <v>160.1</v>
      </c>
      <c r="G1183">
        <v>220</v>
      </c>
      <c r="H1183" s="7">
        <v>45967</v>
      </c>
      <c r="I1183" t="str">
        <f>VLOOKUP(G1183,Kostenstellen!$A$1:$C$17,2,0)</f>
        <v>Product</v>
      </c>
    </row>
    <row r="1184" spans="1:9" x14ac:dyDescent="0.2">
      <c r="A1184">
        <v>6425</v>
      </c>
      <c r="B1184" s="7">
        <v>45968</v>
      </c>
      <c r="C1184" t="s">
        <v>452</v>
      </c>
      <c r="D1184" t="s">
        <v>984</v>
      </c>
      <c r="E1184">
        <v>180</v>
      </c>
      <c r="G1184">
        <v>220</v>
      </c>
      <c r="H1184" s="7">
        <v>45967</v>
      </c>
      <c r="I1184" t="str">
        <f>VLOOKUP(G1184,Kostenstellen!$A$1:$C$17,2,0)</f>
        <v>Product</v>
      </c>
    </row>
    <row r="1185" spans="1:9" x14ac:dyDescent="0.2">
      <c r="A1185">
        <v>6425</v>
      </c>
      <c r="B1185" s="7">
        <v>45971</v>
      </c>
      <c r="C1185" t="s">
        <v>440</v>
      </c>
      <c r="D1185">
        <v>16764849</v>
      </c>
      <c r="E1185">
        <v>11.45</v>
      </c>
      <c r="G1185">
        <v>235</v>
      </c>
      <c r="H1185" s="7">
        <v>45969</v>
      </c>
      <c r="I1185" t="str">
        <f>VLOOKUP(G1185,Kostenstellen!$A$1:$C$17,2,0)</f>
        <v>Marketing</v>
      </c>
    </row>
    <row r="1186" spans="1:9" x14ac:dyDescent="0.2">
      <c r="A1186">
        <v>6425</v>
      </c>
      <c r="B1186" s="7">
        <v>45971</v>
      </c>
      <c r="C1186" t="s">
        <v>764</v>
      </c>
      <c r="D1186" t="s">
        <v>929</v>
      </c>
      <c r="E1186">
        <v>87.61</v>
      </c>
      <c r="G1186">
        <v>230</v>
      </c>
      <c r="I1186" t="str">
        <f>VLOOKUP(G1186,Kostenstellen!$A$1:$C$17,2,0)</f>
        <v>Sales</v>
      </c>
    </row>
    <row r="1187" spans="1:9" x14ac:dyDescent="0.2">
      <c r="A1187">
        <v>6425</v>
      </c>
      <c r="B1187" s="7">
        <v>45971</v>
      </c>
      <c r="C1187" t="s">
        <v>875</v>
      </c>
      <c r="D1187" t="s">
        <v>985</v>
      </c>
      <c r="E1187">
        <v>43.36</v>
      </c>
      <c r="G1187">
        <v>220</v>
      </c>
      <c r="H1187" s="7">
        <v>45970</v>
      </c>
      <c r="I1187" t="str">
        <f>VLOOKUP(G1187,Kostenstellen!$A$1:$C$17,2,0)</f>
        <v>Product</v>
      </c>
    </row>
    <row r="1188" spans="1:9" x14ac:dyDescent="0.2">
      <c r="A1188">
        <v>6425</v>
      </c>
      <c r="B1188" s="7">
        <v>45971</v>
      </c>
      <c r="C1188" t="s">
        <v>579</v>
      </c>
      <c r="D1188" t="s">
        <v>986</v>
      </c>
      <c r="E1188">
        <v>13.27</v>
      </c>
      <c r="G1188">
        <v>210</v>
      </c>
      <c r="H1188" s="7">
        <v>45969</v>
      </c>
      <c r="I1188" t="str">
        <f>VLOOKUP(G1188,Kostenstellen!$A$1:$C$17,2,0)</f>
        <v>Dev</v>
      </c>
    </row>
    <row r="1189" spans="1:9" x14ac:dyDescent="0.2">
      <c r="A1189">
        <v>6425</v>
      </c>
      <c r="B1189" s="7">
        <v>45971</v>
      </c>
      <c r="C1189" t="s">
        <v>583</v>
      </c>
      <c r="D1189" t="s">
        <v>987</v>
      </c>
      <c r="E1189">
        <v>41.59</v>
      </c>
      <c r="G1189">
        <v>235</v>
      </c>
      <c r="H1189" s="7">
        <v>45986</v>
      </c>
      <c r="I1189" t="str">
        <f>VLOOKUP(G1189,Kostenstellen!$A$1:$C$17,2,0)</f>
        <v>Marketing</v>
      </c>
    </row>
    <row r="1190" spans="1:9" x14ac:dyDescent="0.2">
      <c r="A1190">
        <v>6425</v>
      </c>
      <c r="B1190" s="7">
        <v>45971</v>
      </c>
      <c r="C1190" t="s">
        <v>526</v>
      </c>
      <c r="D1190" t="s">
        <v>988</v>
      </c>
      <c r="E1190">
        <v>7.51</v>
      </c>
      <c r="G1190">
        <v>235</v>
      </c>
      <c r="H1190" s="7">
        <v>45970</v>
      </c>
      <c r="I1190" t="str">
        <f>VLOOKUP(G1190,Kostenstellen!$A$1:$C$17,2,0)</f>
        <v>Marketing</v>
      </c>
    </row>
    <row r="1191" spans="1:9" x14ac:dyDescent="0.2">
      <c r="A1191">
        <v>6425</v>
      </c>
      <c r="B1191" s="7">
        <v>45971</v>
      </c>
      <c r="C1191" t="s">
        <v>441</v>
      </c>
      <c r="D1191" t="s">
        <v>989</v>
      </c>
      <c r="E1191">
        <v>204.98</v>
      </c>
      <c r="G1191">
        <v>202</v>
      </c>
      <c r="H1191" s="7">
        <v>45968</v>
      </c>
      <c r="I1191" t="str">
        <f>VLOOKUP(G1191,Kostenstellen!$A$1:$C$17,2,0)</f>
        <v>Recruiting</v>
      </c>
    </row>
    <row r="1192" spans="1:9" x14ac:dyDescent="0.2">
      <c r="A1192">
        <v>6425</v>
      </c>
      <c r="B1192" s="7">
        <v>45971</v>
      </c>
      <c r="C1192" t="s">
        <v>990</v>
      </c>
      <c r="D1192" t="s">
        <v>928</v>
      </c>
      <c r="E1192">
        <v>43.36</v>
      </c>
      <c r="G1192">
        <v>235</v>
      </c>
      <c r="H1192" s="7">
        <v>45969</v>
      </c>
      <c r="I1192" t="str">
        <f>VLOOKUP(G1192,Kostenstellen!$A$1:$C$17,2,0)</f>
        <v>Marketing</v>
      </c>
    </row>
    <row r="1193" spans="1:9" x14ac:dyDescent="0.2">
      <c r="A1193">
        <v>6425</v>
      </c>
      <c r="B1193" s="7">
        <v>45971</v>
      </c>
      <c r="C1193" t="s">
        <v>643</v>
      </c>
      <c r="D1193" t="s">
        <v>924</v>
      </c>
      <c r="E1193">
        <v>21.15</v>
      </c>
      <c r="G1193">
        <v>230</v>
      </c>
      <c r="I1193" t="str">
        <f>VLOOKUP(G1193,Kostenstellen!$A$1:$C$17,2,0)</f>
        <v>Sales</v>
      </c>
    </row>
    <row r="1194" spans="1:9" x14ac:dyDescent="0.2">
      <c r="A1194">
        <v>6425</v>
      </c>
      <c r="B1194" s="7">
        <v>45972</v>
      </c>
      <c r="C1194" t="s">
        <v>768</v>
      </c>
      <c r="D1194" s="8" t="s">
        <v>935</v>
      </c>
      <c r="E1194">
        <v>83.18</v>
      </c>
      <c r="G1194">
        <v>230</v>
      </c>
      <c r="I1194" t="str">
        <f>VLOOKUP(G1194,Kostenstellen!$A$1:$C$17,2,0)</f>
        <v>Sales</v>
      </c>
    </row>
    <row r="1195" spans="1:9" x14ac:dyDescent="0.2">
      <c r="A1195">
        <v>6425</v>
      </c>
      <c r="B1195" s="7">
        <v>45973</v>
      </c>
      <c r="C1195" t="s">
        <v>991</v>
      </c>
      <c r="D1195" t="s">
        <v>992</v>
      </c>
      <c r="E1195">
        <v>34.770000000000003</v>
      </c>
      <c r="G1195">
        <v>235</v>
      </c>
      <c r="H1195" s="7">
        <v>45972</v>
      </c>
      <c r="I1195" t="str">
        <f>VLOOKUP(G1195,Kostenstellen!$A$1:$C$17,2,0)</f>
        <v>Marketing</v>
      </c>
    </row>
    <row r="1196" spans="1:9" x14ac:dyDescent="0.2">
      <c r="A1196">
        <v>6425</v>
      </c>
      <c r="B1196" s="7">
        <v>45973</v>
      </c>
      <c r="C1196" t="s">
        <v>461</v>
      </c>
      <c r="D1196" t="s">
        <v>993</v>
      </c>
      <c r="E1196">
        <v>132.79</v>
      </c>
      <c r="G1196">
        <v>210</v>
      </c>
      <c r="H1196" s="7">
        <v>45972</v>
      </c>
      <c r="I1196" t="str">
        <f>VLOOKUP(G1196,Kostenstellen!$A$1:$C$17,2,0)</f>
        <v>Dev</v>
      </c>
    </row>
    <row r="1197" spans="1:9" x14ac:dyDescent="0.2">
      <c r="A1197">
        <v>6425</v>
      </c>
      <c r="B1197" s="7">
        <v>45974</v>
      </c>
      <c r="C1197" t="s">
        <v>771</v>
      </c>
      <c r="D1197" t="s">
        <v>994</v>
      </c>
      <c r="E1197">
        <v>8.59</v>
      </c>
      <c r="G1197">
        <v>230</v>
      </c>
      <c r="H1197" s="7">
        <v>45973</v>
      </c>
      <c r="I1197" t="str">
        <f>VLOOKUP(G1197,Kostenstellen!$A$1:$C$17,2,0)</f>
        <v>Sales</v>
      </c>
    </row>
    <row r="1198" spans="1:9" x14ac:dyDescent="0.2">
      <c r="A1198">
        <v>6425</v>
      </c>
      <c r="B1198" s="7">
        <v>45975</v>
      </c>
      <c r="C1198" t="s">
        <v>497</v>
      </c>
      <c r="D1198" t="s">
        <v>995</v>
      </c>
      <c r="E1198">
        <v>8.82</v>
      </c>
      <c r="G1198">
        <v>230</v>
      </c>
      <c r="H1198" s="7">
        <v>45974</v>
      </c>
      <c r="I1198" t="str">
        <f>VLOOKUP(G1198,Kostenstellen!$A$1:$C$17,2,0)</f>
        <v>Sales</v>
      </c>
    </row>
    <row r="1199" spans="1:9" x14ac:dyDescent="0.2">
      <c r="A1199">
        <v>6425</v>
      </c>
      <c r="B1199" s="7">
        <v>45975</v>
      </c>
      <c r="C1199" t="s">
        <v>552</v>
      </c>
      <c r="D1199" t="s">
        <v>996</v>
      </c>
      <c r="E1199">
        <v>37.380000000000003</v>
      </c>
      <c r="G1199">
        <v>235</v>
      </c>
      <c r="H1199" s="7">
        <v>45974</v>
      </c>
      <c r="I1199" t="str">
        <f>VLOOKUP(G1199,Kostenstellen!$A$1:$C$17,2,0)</f>
        <v>Marketing</v>
      </c>
    </row>
    <row r="1200" spans="1:9" x14ac:dyDescent="0.2">
      <c r="A1200">
        <v>6425</v>
      </c>
      <c r="B1200" s="7">
        <v>45975</v>
      </c>
      <c r="C1200" t="s">
        <v>444</v>
      </c>
      <c r="D1200" t="s">
        <v>997</v>
      </c>
      <c r="E1200">
        <v>73.489999999999995</v>
      </c>
      <c r="G1200">
        <v>235</v>
      </c>
      <c r="H1200" s="7">
        <v>45974</v>
      </c>
      <c r="I1200" t="str">
        <f>VLOOKUP(G1200,Kostenstellen!$A$1:$C$17,2,0)</f>
        <v>Marketing</v>
      </c>
    </row>
    <row r="1201" spans="1:9" x14ac:dyDescent="0.2">
      <c r="A1201">
        <v>6425</v>
      </c>
      <c r="B1201" s="7">
        <v>45975</v>
      </c>
      <c r="C1201" t="s">
        <v>501</v>
      </c>
      <c r="D1201" t="s">
        <v>998</v>
      </c>
      <c r="E1201">
        <v>17.649999999999999</v>
      </c>
      <c r="G1201">
        <v>235</v>
      </c>
      <c r="H1201" s="7">
        <v>45973</v>
      </c>
      <c r="I1201" t="str">
        <f>VLOOKUP(G1201,Kostenstellen!$A$1:$C$17,2,0)</f>
        <v>Marketing</v>
      </c>
    </row>
    <row r="1202" spans="1:9" x14ac:dyDescent="0.2">
      <c r="A1202">
        <v>6425</v>
      </c>
      <c r="B1202" s="7">
        <v>45978</v>
      </c>
      <c r="C1202" t="s">
        <v>446</v>
      </c>
      <c r="D1202" t="s">
        <v>999</v>
      </c>
      <c r="E1202">
        <v>31.64</v>
      </c>
      <c r="G1202">
        <v>210</v>
      </c>
      <c r="H1202" s="7">
        <v>45977</v>
      </c>
      <c r="I1202" t="str">
        <f>VLOOKUP(G1202,Kostenstellen!$A$1:$C$17,2,0)</f>
        <v>Dev</v>
      </c>
    </row>
    <row r="1203" spans="1:9" x14ac:dyDescent="0.2">
      <c r="A1203">
        <v>6425</v>
      </c>
      <c r="B1203" s="7">
        <v>45978</v>
      </c>
      <c r="C1203" t="s">
        <v>535</v>
      </c>
      <c r="D1203" t="s">
        <v>1000</v>
      </c>
      <c r="E1203">
        <v>28.56</v>
      </c>
      <c r="G1203">
        <v>235</v>
      </c>
      <c r="H1203" s="7">
        <v>45977</v>
      </c>
      <c r="I1203" t="str">
        <f>VLOOKUP(G1203,Kostenstellen!$A$1:$C$17,2,0)</f>
        <v>Marketing</v>
      </c>
    </row>
    <row r="1204" spans="1:9" x14ac:dyDescent="0.2">
      <c r="A1204">
        <v>6425</v>
      </c>
      <c r="B1204" s="7">
        <v>45978</v>
      </c>
      <c r="C1204" t="s">
        <v>444</v>
      </c>
      <c r="D1204" t="s">
        <v>1001</v>
      </c>
      <c r="E1204">
        <v>9.7799999999999994</v>
      </c>
      <c r="G1204">
        <v>235</v>
      </c>
      <c r="H1204" s="7">
        <v>45975</v>
      </c>
      <c r="I1204" t="str">
        <f>VLOOKUP(G1204,Kostenstellen!$A$1:$C$17,2,0)</f>
        <v>Marketing</v>
      </c>
    </row>
    <row r="1205" spans="1:9" x14ac:dyDescent="0.2">
      <c r="A1205">
        <v>6425</v>
      </c>
      <c r="B1205" s="7">
        <v>45978</v>
      </c>
      <c r="C1205" t="s">
        <v>712</v>
      </c>
      <c r="D1205" t="s">
        <v>942</v>
      </c>
      <c r="E1205">
        <v>130</v>
      </c>
      <c r="G1205">
        <v>230</v>
      </c>
      <c r="I1205" t="str">
        <f>VLOOKUP(G1205,Kostenstellen!$A$1:$C$17,2,0)</f>
        <v>Sales</v>
      </c>
    </row>
    <row r="1206" spans="1:9" x14ac:dyDescent="0.2">
      <c r="A1206">
        <v>6425</v>
      </c>
      <c r="B1206" s="7">
        <v>45979</v>
      </c>
      <c r="C1206" t="s">
        <v>495</v>
      </c>
      <c r="D1206" t="s">
        <v>1002</v>
      </c>
      <c r="E1206">
        <v>410</v>
      </c>
      <c r="G1206">
        <v>230</v>
      </c>
      <c r="H1206" s="7">
        <v>45978</v>
      </c>
      <c r="I1206" t="str">
        <f>VLOOKUP(G1206,Kostenstellen!$A$1:$C$17,2,0)</f>
        <v>Sales</v>
      </c>
    </row>
    <row r="1207" spans="1:9" x14ac:dyDescent="0.2">
      <c r="A1207">
        <v>6425</v>
      </c>
      <c r="B1207" s="7">
        <v>45980</v>
      </c>
      <c r="C1207" t="s">
        <v>449</v>
      </c>
      <c r="D1207" s="8">
        <v>8.9149479999999997E-23</v>
      </c>
      <c r="E1207">
        <v>14.1</v>
      </c>
      <c r="G1207">
        <v>220</v>
      </c>
      <c r="H1207" s="7">
        <v>45979</v>
      </c>
      <c r="I1207" t="str">
        <f>VLOOKUP(G1207,Kostenstellen!$A$1:$C$17,2,0)</f>
        <v>Product</v>
      </c>
    </row>
    <row r="1208" spans="1:9" x14ac:dyDescent="0.2">
      <c r="A1208">
        <v>6425</v>
      </c>
      <c r="B1208" s="7">
        <v>45981</v>
      </c>
      <c r="C1208" t="s">
        <v>716</v>
      </c>
      <c r="D1208" t="s">
        <v>1003</v>
      </c>
      <c r="E1208">
        <v>25.56</v>
      </c>
      <c r="G1208">
        <v>235</v>
      </c>
      <c r="H1208" s="7">
        <v>45980</v>
      </c>
      <c r="I1208" t="str">
        <f>VLOOKUP(G1208,Kostenstellen!$A$1:$C$17,2,0)</f>
        <v>Marketing</v>
      </c>
    </row>
    <row r="1209" spans="1:9" x14ac:dyDescent="0.2">
      <c r="A1209">
        <v>6425</v>
      </c>
      <c r="B1209" s="7">
        <v>45982</v>
      </c>
      <c r="C1209" t="s">
        <v>1004</v>
      </c>
      <c r="D1209">
        <v>789174568120</v>
      </c>
      <c r="E1209">
        <v>99.99</v>
      </c>
      <c r="G1209">
        <v>202</v>
      </c>
      <c r="H1209" s="7">
        <v>45981</v>
      </c>
      <c r="I1209" t="str">
        <f>VLOOKUP(G1209,Kostenstellen!$A$1:$C$17,2,0)</f>
        <v>Recruiting</v>
      </c>
    </row>
    <row r="1210" spans="1:9" x14ac:dyDescent="0.2">
      <c r="A1210">
        <v>6425</v>
      </c>
      <c r="B1210" s="7">
        <v>45982</v>
      </c>
      <c r="C1210" t="s">
        <v>501</v>
      </c>
      <c r="D1210" t="s">
        <v>1005</v>
      </c>
      <c r="E1210">
        <v>13.27</v>
      </c>
      <c r="G1210">
        <v>230</v>
      </c>
      <c r="H1210" s="7">
        <v>45981</v>
      </c>
      <c r="I1210" t="str">
        <f>VLOOKUP(G1210,Kostenstellen!$A$1:$C$17,2,0)</f>
        <v>Sales</v>
      </c>
    </row>
    <row r="1211" spans="1:9" x14ac:dyDescent="0.2">
      <c r="A1211">
        <v>6425</v>
      </c>
      <c r="B1211" s="7">
        <v>45982</v>
      </c>
      <c r="C1211" t="s">
        <v>1006</v>
      </c>
      <c r="D1211" t="s">
        <v>1007</v>
      </c>
      <c r="E1211">
        <v>106.12</v>
      </c>
      <c r="G1211">
        <v>210</v>
      </c>
      <c r="H1211" s="7">
        <v>45981</v>
      </c>
      <c r="I1211" t="str">
        <f>VLOOKUP(G1211,Kostenstellen!$A$1:$C$17,2,0)</f>
        <v>Dev</v>
      </c>
    </row>
    <row r="1212" spans="1:9" x14ac:dyDescent="0.2">
      <c r="A1212">
        <v>6425</v>
      </c>
      <c r="B1212" s="7">
        <v>45985</v>
      </c>
      <c r="C1212" t="s">
        <v>452</v>
      </c>
      <c r="D1212" t="s">
        <v>1008</v>
      </c>
      <c r="E1212">
        <v>18</v>
      </c>
      <c r="G1212">
        <v>235</v>
      </c>
      <c r="H1212" s="7">
        <v>45982</v>
      </c>
      <c r="I1212" t="str">
        <f>VLOOKUP(G1212,Kostenstellen!$A$1:$C$17,2,0)</f>
        <v>Marketing</v>
      </c>
    </row>
    <row r="1213" spans="1:9" x14ac:dyDescent="0.2">
      <c r="A1213">
        <v>6425</v>
      </c>
      <c r="B1213" s="7">
        <v>45986</v>
      </c>
      <c r="C1213" t="s">
        <v>537</v>
      </c>
      <c r="D1213" t="s">
        <v>1009</v>
      </c>
      <c r="E1213">
        <v>15.85</v>
      </c>
      <c r="G1213">
        <v>235</v>
      </c>
      <c r="H1213" s="7">
        <v>45985</v>
      </c>
      <c r="I1213" t="str">
        <f>VLOOKUP(G1213,Kostenstellen!$A$1:$C$17,2,0)</f>
        <v>Marketing</v>
      </c>
    </row>
    <row r="1214" spans="1:9" x14ac:dyDescent="0.2">
      <c r="A1214">
        <v>6425</v>
      </c>
      <c r="B1214" s="7">
        <v>45986</v>
      </c>
      <c r="C1214" t="s">
        <v>537</v>
      </c>
      <c r="D1214" t="s">
        <v>1009</v>
      </c>
      <c r="E1214">
        <v>15.85</v>
      </c>
      <c r="G1214">
        <v>230</v>
      </c>
      <c r="H1214" s="7">
        <v>45985</v>
      </c>
      <c r="I1214" t="str">
        <f>VLOOKUP(G1214,Kostenstellen!$A$1:$C$17,2,0)</f>
        <v>Sales</v>
      </c>
    </row>
    <row r="1215" spans="1:9" x14ac:dyDescent="0.2">
      <c r="A1215">
        <v>6425</v>
      </c>
      <c r="B1215" s="7">
        <v>45987</v>
      </c>
      <c r="C1215" t="s">
        <v>454</v>
      </c>
      <c r="D1215" t="s">
        <v>1010</v>
      </c>
      <c r="E1215">
        <v>88.69</v>
      </c>
      <c r="G1215">
        <v>210</v>
      </c>
      <c r="H1215" s="7">
        <v>45986</v>
      </c>
      <c r="I1215" t="str">
        <f>VLOOKUP(G1215,Kostenstellen!$A$1:$C$17,2,0)</f>
        <v>Dev</v>
      </c>
    </row>
    <row r="1216" spans="1:9" x14ac:dyDescent="0.2">
      <c r="A1216">
        <v>6425</v>
      </c>
      <c r="B1216" s="7">
        <v>45988</v>
      </c>
      <c r="C1216" t="s">
        <v>456</v>
      </c>
      <c r="D1216" s="8" t="s">
        <v>1011</v>
      </c>
      <c r="E1216">
        <v>71.78</v>
      </c>
      <c r="G1216">
        <v>210</v>
      </c>
      <c r="H1216" s="7">
        <v>45987</v>
      </c>
      <c r="I1216" t="str">
        <f>VLOOKUP(G1216,Kostenstellen!$A$1:$C$17,2,0)</f>
        <v>Dev</v>
      </c>
    </row>
    <row r="1217" spans="1:9" x14ac:dyDescent="0.2">
      <c r="A1217">
        <v>6425</v>
      </c>
      <c r="B1217" s="7">
        <v>45989</v>
      </c>
      <c r="C1217" t="s">
        <v>442</v>
      </c>
      <c r="D1217" t="s">
        <v>1012</v>
      </c>
      <c r="E1217">
        <v>8.83</v>
      </c>
      <c r="G1217">
        <v>210</v>
      </c>
      <c r="H1217" s="7">
        <v>45988</v>
      </c>
      <c r="I1217" t="str">
        <f>VLOOKUP(G1217,Kostenstellen!$A$1:$C$17,2,0)</f>
        <v>Dev</v>
      </c>
    </row>
    <row r="1218" spans="1:9" x14ac:dyDescent="0.2">
      <c r="A1218">
        <v>6425</v>
      </c>
      <c r="B1218" s="7">
        <v>45989</v>
      </c>
      <c r="C1218" t="s">
        <v>958</v>
      </c>
      <c r="D1218" t="s">
        <v>1013</v>
      </c>
      <c r="E1218">
        <v>900</v>
      </c>
      <c r="G1218">
        <v>200</v>
      </c>
      <c r="I1218" t="str">
        <f>VLOOKUP(G1218,Kostenstellen!$A$1:$C$17,2,0)</f>
        <v>aqua</v>
      </c>
    </row>
    <row r="1219" spans="1:9" x14ac:dyDescent="0.2">
      <c r="A1219">
        <v>6425</v>
      </c>
      <c r="B1219" s="7">
        <v>45991</v>
      </c>
      <c r="C1219" t="s">
        <v>615</v>
      </c>
      <c r="D1219" t="s">
        <v>352</v>
      </c>
      <c r="E1219">
        <v>224.8</v>
      </c>
      <c r="G1219">
        <v>210</v>
      </c>
      <c r="I1219" t="str">
        <f>VLOOKUP(G1219,Kostenstellen!$A$1:$C$17,2,0)</f>
        <v>Dev</v>
      </c>
    </row>
    <row r="1220" spans="1:9" x14ac:dyDescent="0.2">
      <c r="A1220">
        <v>6425</v>
      </c>
      <c r="B1220" s="7">
        <v>45991</v>
      </c>
      <c r="C1220" t="s">
        <v>800</v>
      </c>
      <c r="D1220" t="s">
        <v>352</v>
      </c>
      <c r="E1220">
        <v>86.29</v>
      </c>
      <c r="G1220">
        <v>210</v>
      </c>
      <c r="I1220" t="str">
        <f>VLOOKUP(G1220,Kostenstellen!$A$1:$C$17,2,0)</f>
        <v>Dev</v>
      </c>
    </row>
    <row r="1221" spans="1:9" x14ac:dyDescent="0.2">
      <c r="A1221">
        <v>6425</v>
      </c>
      <c r="B1221" s="7">
        <v>45991</v>
      </c>
      <c r="C1221" t="s">
        <v>465</v>
      </c>
      <c r="D1221">
        <v>20255000001</v>
      </c>
      <c r="E1221">
        <v>800</v>
      </c>
      <c r="G1221">
        <v>200</v>
      </c>
      <c r="I1221" t="str">
        <f>VLOOKUP(G1221,Kostenstellen!$A$1:$C$17,2,0)</f>
        <v>aqua</v>
      </c>
    </row>
    <row r="1222" spans="1:9" x14ac:dyDescent="0.2">
      <c r="A1222">
        <v>6425</v>
      </c>
      <c r="B1222" s="7">
        <v>45992</v>
      </c>
      <c r="C1222" t="s">
        <v>1014</v>
      </c>
      <c r="D1222">
        <v>202510010096</v>
      </c>
      <c r="E1222">
        <v>34.44</v>
      </c>
      <c r="G1222">
        <v>230</v>
      </c>
      <c r="I1222" t="str">
        <f>VLOOKUP(G1222,Kostenstellen!$A$1:$C$17,2,0)</f>
        <v>Sales</v>
      </c>
    </row>
    <row r="1223" spans="1:9" x14ac:dyDescent="0.2">
      <c r="A1223">
        <v>6425</v>
      </c>
      <c r="B1223" s="7">
        <v>45992</v>
      </c>
      <c r="C1223" t="s">
        <v>552</v>
      </c>
      <c r="D1223" t="s">
        <v>1015</v>
      </c>
      <c r="E1223">
        <v>37.33</v>
      </c>
      <c r="G1223">
        <v>235</v>
      </c>
      <c r="I1223" t="str">
        <f>VLOOKUP(G1223,Kostenstellen!$A$1:$C$17,2,0)</f>
        <v>Marketing</v>
      </c>
    </row>
    <row r="1224" spans="1:9" x14ac:dyDescent="0.2">
      <c r="A1224">
        <v>6425</v>
      </c>
      <c r="B1224" s="7">
        <v>45992</v>
      </c>
      <c r="C1224" t="s">
        <v>444</v>
      </c>
      <c r="D1224" t="s">
        <v>976</v>
      </c>
      <c r="E1224">
        <v>4.55</v>
      </c>
      <c r="G1224">
        <v>235</v>
      </c>
      <c r="I1224" t="str">
        <f>VLOOKUP(G1224,Kostenstellen!$A$1:$C$17,2,0)</f>
        <v>Marketing</v>
      </c>
    </row>
    <row r="1225" spans="1:9" x14ac:dyDescent="0.2">
      <c r="A1225">
        <v>6425</v>
      </c>
      <c r="B1225" s="7">
        <v>45992</v>
      </c>
      <c r="C1225" t="s">
        <v>430</v>
      </c>
      <c r="D1225" t="s">
        <v>1016</v>
      </c>
      <c r="E1225">
        <v>17.63</v>
      </c>
      <c r="G1225">
        <v>220</v>
      </c>
      <c r="I1225" t="str">
        <f>VLOOKUP(G1225,Kostenstellen!$A$1:$C$17,2,0)</f>
        <v>Product</v>
      </c>
    </row>
    <row r="1226" spans="1:9" x14ac:dyDescent="0.2">
      <c r="A1226">
        <v>6425</v>
      </c>
      <c r="B1226" s="7">
        <v>45992</v>
      </c>
      <c r="C1226" t="s">
        <v>562</v>
      </c>
      <c r="D1226" t="s">
        <v>1017</v>
      </c>
      <c r="E1226">
        <v>52.88</v>
      </c>
      <c r="G1226">
        <v>220</v>
      </c>
      <c r="I1226" t="str">
        <f>VLOOKUP(G1226,Kostenstellen!$A$1:$C$17,2,0)</f>
        <v>Product</v>
      </c>
    </row>
    <row r="1227" spans="1:9" x14ac:dyDescent="0.2">
      <c r="A1227">
        <v>6425</v>
      </c>
      <c r="B1227" s="7">
        <v>45992</v>
      </c>
      <c r="C1227" t="s">
        <v>442</v>
      </c>
      <c r="D1227" t="s">
        <v>1018</v>
      </c>
      <c r="E1227">
        <v>449.29</v>
      </c>
      <c r="G1227">
        <v>210</v>
      </c>
      <c r="I1227" t="str">
        <f>VLOOKUP(G1227,Kostenstellen!$A$1:$C$17,2,0)</f>
        <v>Dev</v>
      </c>
    </row>
    <row r="1228" spans="1:9" x14ac:dyDescent="0.2">
      <c r="A1228">
        <v>6425</v>
      </c>
      <c r="B1228" s="7">
        <v>45992</v>
      </c>
      <c r="C1228" t="s">
        <v>466</v>
      </c>
      <c r="D1228" t="s">
        <v>1019</v>
      </c>
      <c r="E1228">
        <v>16.809999999999999</v>
      </c>
      <c r="G1228">
        <v>210</v>
      </c>
      <c r="I1228" t="str">
        <f>VLOOKUP(G1228,Kostenstellen!$A$1:$C$17,2,0)</f>
        <v>Dev</v>
      </c>
    </row>
    <row r="1229" spans="1:9" x14ac:dyDescent="0.2">
      <c r="A1229">
        <v>6425</v>
      </c>
      <c r="B1229" s="7">
        <v>45992</v>
      </c>
      <c r="C1229" t="s">
        <v>552</v>
      </c>
      <c r="D1229" t="s">
        <v>1020</v>
      </c>
      <c r="E1229">
        <v>23.35</v>
      </c>
      <c r="G1229">
        <v>230</v>
      </c>
      <c r="I1229" t="str">
        <f>VLOOKUP(G1229,Kostenstellen!$A$1:$C$17,2,0)</f>
        <v>Sales</v>
      </c>
    </row>
    <row r="1230" spans="1:9" x14ac:dyDescent="0.2">
      <c r="A1230">
        <v>6425</v>
      </c>
      <c r="B1230" s="7">
        <v>45993</v>
      </c>
      <c r="C1230" t="s">
        <v>1021</v>
      </c>
      <c r="D1230">
        <v>192558</v>
      </c>
      <c r="E1230">
        <v>150</v>
      </c>
      <c r="G1230">
        <v>200</v>
      </c>
      <c r="I1230" t="str">
        <f>VLOOKUP(G1230,Kostenstellen!$A$1:$C$17,2,0)</f>
        <v>aqua</v>
      </c>
    </row>
    <row r="1231" spans="1:9" x14ac:dyDescent="0.2">
      <c r="A1231">
        <v>6425</v>
      </c>
      <c r="B1231" s="7">
        <v>45993</v>
      </c>
      <c r="C1231" t="s">
        <v>537</v>
      </c>
      <c r="D1231" t="s">
        <v>1022</v>
      </c>
      <c r="E1231">
        <v>0.65</v>
      </c>
      <c r="G1231">
        <v>235</v>
      </c>
      <c r="H1231" s="7">
        <v>45992</v>
      </c>
      <c r="I1231" t="str">
        <f>VLOOKUP(G1231,Kostenstellen!$A$1:$C$17,2,0)</f>
        <v>Marketing</v>
      </c>
    </row>
    <row r="1232" spans="1:9" x14ac:dyDescent="0.2">
      <c r="A1232">
        <v>6425</v>
      </c>
      <c r="B1232" s="7">
        <v>45993</v>
      </c>
      <c r="C1232" t="s">
        <v>430</v>
      </c>
      <c r="D1232" t="s">
        <v>1023</v>
      </c>
      <c r="E1232">
        <v>18.399999999999999</v>
      </c>
      <c r="G1232">
        <v>235</v>
      </c>
      <c r="H1232" s="7">
        <v>45992</v>
      </c>
      <c r="I1232" t="str">
        <f>VLOOKUP(G1232,Kostenstellen!$A$1:$C$17,2,0)</f>
        <v>Marketing</v>
      </c>
    </row>
    <row r="1233" spans="1:9" x14ac:dyDescent="0.2">
      <c r="A1233">
        <v>6425</v>
      </c>
      <c r="B1233" s="7">
        <v>45993</v>
      </c>
      <c r="C1233" t="s">
        <v>420</v>
      </c>
      <c r="D1233" t="s">
        <v>1024</v>
      </c>
      <c r="E1233">
        <v>44.15</v>
      </c>
      <c r="G1233">
        <v>210</v>
      </c>
      <c r="I1233" t="str">
        <f>VLOOKUP(G1233,Kostenstellen!$A$1:$C$17,2,0)</f>
        <v>Dev</v>
      </c>
    </row>
    <row r="1234" spans="1:9" x14ac:dyDescent="0.2">
      <c r="A1234">
        <v>6425</v>
      </c>
      <c r="B1234" s="7">
        <v>45994</v>
      </c>
      <c r="C1234" t="s">
        <v>1025</v>
      </c>
      <c r="D1234" t="s">
        <v>1026</v>
      </c>
      <c r="E1234">
        <v>260</v>
      </c>
      <c r="G1234">
        <v>230</v>
      </c>
      <c r="I1234" t="str">
        <f>VLOOKUP(G1234,Kostenstellen!$A$1:$C$17,2,0)</f>
        <v>Sales</v>
      </c>
    </row>
    <row r="1235" spans="1:9" x14ac:dyDescent="0.2">
      <c r="A1235">
        <v>6425</v>
      </c>
      <c r="B1235" s="7">
        <v>45994</v>
      </c>
      <c r="C1235" t="s">
        <v>470</v>
      </c>
      <c r="D1235" t="s">
        <v>1027</v>
      </c>
      <c r="E1235">
        <v>540</v>
      </c>
      <c r="G1235">
        <v>210</v>
      </c>
      <c r="H1235" s="7">
        <v>45994</v>
      </c>
      <c r="I1235" t="str">
        <f>VLOOKUP(G1235,Kostenstellen!$A$1:$C$17,2,0)</f>
        <v>Dev</v>
      </c>
    </row>
    <row r="1236" spans="1:9" x14ac:dyDescent="0.2">
      <c r="A1236">
        <v>6425</v>
      </c>
      <c r="B1236" s="7">
        <v>45995</v>
      </c>
      <c r="C1236" t="s">
        <v>425</v>
      </c>
      <c r="D1236">
        <v>158732</v>
      </c>
      <c r="E1236">
        <v>21.95</v>
      </c>
      <c r="G1236">
        <v>210</v>
      </c>
      <c r="H1236" s="7">
        <v>45995</v>
      </c>
      <c r="I1236" t="str">
        <f>VLOOKUP(G1236,Kostenstellen!$A$1:$C$17,2,0)</f>
        <v>Dev</v>
      </c>
    </row>
    <row r="1237" spans="1:9" x14ac:dyDescent="0.2">
      <c r="A1237">
        <v>6425</v>
      </c>
      <c r="B1237" s="7">
        <v>45995</v>
      </c>
      <c r="C1237" t="s">
        <v>1028</v>
      </c>
      <c r="D1237">
        <v>781185699098</v>
      </c>
      <c r="E1237">
        <v>99.99</v>
      </c>
      <c r="G1237">
        <v>230</v>
      </c>
      <c r="I1237" t="str">
        <f>VLOOKUP(G1237,Kostenstellen!$A$1:$C$17,2,0)</f>
        <v>Sales</v>
      </c>
    </row>
    <row r="1238" spans="1:9" x14ac:dyDescent="0.2">
      <c r="A1238">
        <v>6425</v>
      </c>
      <c r="B1238" s="7">
        <v>45995</v>
      </c>
      <c r="C1238" t="s">
        <v>426</v>
      </c>
      <c r="D1238" t="s">
        <v>1029</v>
      </c>
      <c r="E1238">
        <v>17.600000000000001</v>
      </c>
      <c r="G1238">
        <v>220</v>
      </c>
      <c r="H1238" s="7">
        <v>45994</v>
      </c>
      <c r="I1238" t="str">
        <f>VLOOKUP(G1238,Kostenstellen!$A$1:$C$17,2,0)</f>
        <v>Product</v>
      </c>
    </row>
    <row r="1239" spans="1:9" x14ac:dyDescent="0.2">
      <c r="A1239">
        <v>6425</v>
      </c>
      <c r="B1239" s="7">
        <v>45995</v>
      </c>
      <c r="C1239" t="s">
        <v>428</v>
      </c>
      <c r="D1239" t="s">
        <v>1030</v>
      </c>
      <c r="E1239">
        <v>69.52</v>
      </c>
      <c r="G1239">
        <v>235</v>
      </c>
      <c r="H1239" s="7">
        <v>45994</v>
      </c>
      <c r="I1239" t="str">
        <f>VLOOKUP(G1239,Kostenstellen!$A$1:$C$17,2,0)</f>
        <v>Marketing</v>
      </c>
    </row>
    <row r="1240" spans="1:9" x14ac:dyDescent="0.2">
      <c r="A1240">
        <v>6425</v>
      </c>
      <c r="B1240" s="7">
        <v>45995</v>
      </c>
      <c r="C1240" t="s">
        <v>621</v>
      </c>
      <c r="D1240" t="s">
        <v>916</v>
      </c>
      <c r="E1240">
        <v>88</v>
      </c>
      <c r="G1240">
        <v>230</v>
      </c>
      <c r="I1240" t="str">
        <f>VLOOKUP(G1240,Kostenstellen!$A$1:$C$17,2,0)</f>
        <v>Sales</v>
      </c>
    </row>
    <row r="1241" spans="1:9" x14ac:dyDescent="0.2">
      <c r="A1241">
        <v>6425</v>
      </c>
      <c r="B1241" s="7">
        <v>45995</v>
      </c>
      <c r="C1241" t="s">
        <v>1031</v>
      </c>
      <c r="D1241" t="s">
        <v>1032</v>
      </c>
      <c r="E1241">
        <v>49</v>
      </c>
      <c r="G1241">
        <v>230</v>
      </c>
      <c r="H1241" s="7">
        <v>45994</v>
      </c>
      <c r="I1241" t="str">
        <f>VLOOKUP(G1241,Kostenstellen!$A$1:$C$17,2,0)</f>
        <v>Sales</v>
      </c>
    </row>
    <row r="1242" spans="1:9" x14ac:dyDescent="0.2">
      <c r="A1242">
        <v>6425</v>
      </c>
      <c r="B1242" s="7">
        <v>45996</v>
      </c>
      <c r="C1242" t="s">
        <v>562</v>
      </c>
      <c r="D1242" t="s">
        <v>1033</v>
      </c>
      <c r="E1242">
        <v>47.6</v>
      </c>
      <c r="G1242">
        <v>235</v>
      </c>
      <c r="I1242" t="str">
        <f>VLOOKUP(G1242,Kostenstellen!$A$1:$C$17,2,0)</f>
        <v>Marketing</v>
      </c>
    </row>
    <row r="1243" spans="1:9" x14ac:dyDescent="0.2">
      <c r="A1243">
        <v>6425</v>
      </c>
      <c r="B1243" s="7">
        <v>45996</v>
      </c>
      <c r="C1243" t="s">
        <v>434</v>
      </c>
      <c r="D1243" t="s">
        <v>1034</v>
      </c>
      <c r="E1243">
        <v>113.51</v>
      </c>
      <c r="G1243">
        <v>220</v>
      </c>
      <c r="H1243" s="7">
        <v>45995</v>
      </c>
      <c r="I1243" t="str">
        <f>VLOOKUP(G1243,Kostenstellen!$A$1:$C$17,2,0)</f>
        <v>Product</v>
      </c>
    </row>
    <row r="1244" spans="1:9" x14ac:dyDescent="0.2">
      <c r="A1244">
        <v>6425</v>
      </c>
      <c r="B1244" s="7">
        <v>45999</v>
      </c>
      <c r="C1244" t="s">
        <v>436</v>
      </c>
      <c r="D1244" t="s">
        <v>1035</v>
      </c>
      <c r="E1244">
        <v>157.91</v>
      </c>
      <c r="G1244">
        <v>220</v>
      </c>
      <c r="H1244" s="7">
        <v>45997</v>
      </c>
      <c r="I1244" t="str">
        <f>VLOOKUP(G1244,Kostenstellen!$A$1:$C$17,2,0)</f>
        <v>Product</v>
      </c>
    </row>
    <row r="1245" spans="1:9" x14ac:dyDescent="0.2">
      <c r="A1245">
        <v>6425</v>
      </c>
      <c r="B1245" s="7">
        <v>45999</v>
      </c>
      <c r="C1245" t="s">
        <v>637</v>
      </c>
      <c r="D1245" t="s">
        <v>1036</v>
      </c>
      <c r="E1245">
        <v>16.670000000000002</v>
      </c>
      <c r="G1245">
        <v>235</v>
      </c>
      <c r="H1245" s="7">
        <v>45997</v>
      </c>
      <c r="I1245" t="str">
        <f>VLOOKUP(G1245,Kostenstellen!$A$1:$C$17,2,0)</f>
        <v>Marketing</v>
      </c>
    </row>
    <row r="1246" spans="1:9" x14ac:dyDescent="0.2">
      <c r="A1246">
        <v>6425</v>
      </c>
      <c r="B1246" s="7">
        <v>45999</v>
      </c>
      <c r="C1246" t="s">
        <v>452</v>
      </c>
      <c r="D1246" t="s">
        <v>1037</v>
      </c>
      <c r="E1246">
        <v>180</v>
      </c>
      <c r="G1246">
        <v>220</v>
      </c>
      <c r="H1246" s="7">
        <v>45997</v>
      </c>
      <c r="I1246" t="str">
        <f>VLOOKUP(G1246,Kostenstellen!$A$1:$C$17,2,0)</f>
        <v>Product</v>
      </c>
    </row>
    <row r="1247" spans="1:9" x14ac:dyDescent="0.2">
      <c r="A1247">
        <v>6425</v>
      </c>
      <c r="B1247" s="7">
        <v>45999</v>
      </c>
      <c r="C1247" t="s">
        <v>643</v>
      </c>
      <c r="D1247" t="s">
        <v>1038</v>
      </c>
      <c r="E1247">
        <v>20.88</v>
      </c>
      <c r="G1247">
        <v>230</v>
      </c>
      <c r="H1247" s="7">
        <v>45997</v>
      </c>
      <c r="I1247" t="str">
        <f>VLOOKUP(G1247,Kostenstellen!$A$1:$C$17,2,0)</f>
        <v>Sales</v>
      </c>
    </row>
    <row r="1248" spans="1:9" x14ac:dyDescent="0.2">
      <c r="A1248">
        <v>6425</v>
      </c>
      <c r="B1248" s="7">
        <v>46000</v>
      </c>
      <c r="C1248" t="s">
        <v>579</v>
      </c>
      <c r="D1248" t="s">
        <v>1039</v>
      </c>
      <c r="E1248">
        <v>13.16</v>
      </c>
      <c r="G1248">
        <v>210</v>
      </c>
      <c r="H1248" s="7">
        <v>45999</v>
      </c>
      <c r="I1248" t="str">
        <f>VLOOKUP(G1248,Kostenstellen!$A$1:$C$17,2,0)</f>
        <v>Dev</v>
      </c>
    </row>
    <row r="1249" spans="1:9" x14ac:dyDescent="0.2">
      <c r="A1249">
        <v>6425</v>
      </c>
      <c r="B1249" s="7">
        <v>46000</v>
      </c>
      <c r="C1249" t="s">
        <v>990</v>
      </c>
      <c r="D1249" t="s">
        <v>1040</v>
      </c>
      <c r="E1249">
        <v>42.98</v>
      </c>
      <c r="G1249">
        <v>235</v>
      </c>
      <c r="H1249" s="7">
        <v>45999</v>
      </c>
      <c r="I1249" t="str">
        <f>VLOOKUP(G1249,Kostenstellen!$A$1:$C$17,2,0)</f>
        <v>Marketing</v>
      </c>
    </row>
    <row r="1250" spans="1:9" x14ac:dyDescent="0.2">
      <c r="A1250">
        <v>6425</v>
      </c>
      <c r="B1250" s="7">
        <v>46000</v>
      </c>
      <c r="C1250" t="s">
        <v>441</v>
      </c>
      <c r="D1250" t="s">
        <v>1041</v>
      </c>
      <c r="E1250">
        <v>203.29</v>
      </c>
      <c r="G1250">
        <v>202</v>
      </c>
      <c r="H1250" s="7">
        <v>45999</v>
      </c>
      <c r="I1250" t="str">
        <f>VLOOKUP(G1250,Kostenstellen!$A$1:$C$17,2,0)</f>
        <v>Recruiting</v>
      </c>
    </row>
    <row r="1251" spans="1:9" x14ac:dyDescent="0.2">
      <c r="A1251">
        <v>6425</v>
      </c>
      <c r="B1251" s="7">
        <v>46001</v>
      </c>
      <c r="C1251" t="s">
        <v>461</v>
      </c>
      <c r="D1251" t="s">
        <v>1042</v>
      </c>
      <c r="E1251">
        <v>107.98</v>
      </c>
      <c r="G1251">
        <v>210</v>
      </c>
      <c r="H1251" s="7">
        <v>45999</v>
      </c>
      <c r="I1251" t="str">
        <f>VLOOKUP(G1251,Kostenstellen!$A$1:$C$17,2,0)</f>
        <v>Dev</v>
      </c>
    </row>
    <row r="1252" spans="1:9" x14ac:dyDescent="0.2">
      <c r="A1252">
        <v>6425</v>
      </c>
      <c r="B1252" s="7">
        <v>46001</v>
      </c>
      <c r="C1252" t="s">
        <v>764</v>
      </c>
      <c r="D1252" t="s">
        <v>1043</v>
      </c>
      <c r="E1252">
        <v>86.93</v>
      </c>
      <c r="G1252">
        <v>230</v>
      </c>
      <c r="H1252" s="7">
        <v>46000</v>
      </c>
      <c r="I1252" t="str">
        <f>VLOOKUP(G1252,Kostenstellen!$A$1:$C$17,2,0)</f>
        <v>Sales</v>
      </c>
    </row>
    <row r="1253" spans="1:9" x14ac:dyDescent="0.2">
      <c r="A1253">
        <v>6425</v>
      </c>
      <c r="B1253" s="7">
        <v>46001</v>
      </c>
      <c r="C1253" t="s">
        <v>875</v>
      </c>
      <c r="D1253" t="s">
        <v>1044</v>
      </c>
      <c r="E1253">
        <v>43.03</v>
      </c>
      <c r="G1253">
        <v>220</v>
      </c>
      <c r="H1253" s="7">
        <v>46000</v>
      </c>
      <c r="I1253" t="str">
        <f>VLOOKUP(G1253,Kostenstellen!$A$1:$C$17,2,0)</f>
        <v>Product</v>
      </c>
    </row>
    <row r="1254" spans="1:9" x14ac:dyDescent="0.2">
      <c r="A1254">
        <v>6425</v>
      </c>
      <c r="B1254" s="7">
        <v>46001</v>
      </c>
      <c r="C1254" t="s">
        <v>452</v>
      </c>
      <c r="D1254" t="s">
        <v>1045</v>
      </c>
      <c r="E1254">
        <v>102.56</v>
      </c>
      <c r="G1254">
        <v>210</v>
      </c>
      <c r="H1254" s="7">
        <v>46000</v>
      </c>
      <c r="I1254" t="str">
        <f>VLOOKUP(G1254,Kostenstellen!$A$1:$C$17,2,0)</f>
        <v>Dev</v>
      </c>
    </row>
    <row r="1255" spans="1:9" x14ac:dyDescent="0.2">
      <c r="A1255">
        <v>6425</v>
      </c>
      <c r="B1255" s="7">
        <v>46002</v>
      </c>
      <c r="C1255" t="s">
        <v>768</v>
      </c>
      <c r="D1255" s="8" t="s">
        <v>1046</v>
      </c>
      <c r="E1255">
        <v>82.56</v>
      </c>
      <c r="G1255">
        <v>230</v>
      </c>
      <c r="H1255" s="7">
        <v>46001</v>
      </c>
      <c r="I1255" t="str">
        <f>VLOOKUP(G1255,Kostenstellen!$A$1:$C$17,2,0)</f>
        <v>Sales</v>
      </c>
    </row>
    <row r="1256" spans="1:9" x14ac:dyDescent="0.2">
      <c r="A1256">
        <v>6425</v>
      </c>
      <c r="B1256" s="7">
        <v>46002</v>
      </c>
      <c r="C1256" t="s">
        <v>423</v>
      </c>
      <c r="D1256" t="s">
        <v>928</v>
      </c>
      <c r="E1256">
        <v>45</v>
      </c>
      <c r="G1256">
        <v>220</v>
      </c>
      <c r="H1256" s="7">
        <v>46001</v>
      </c>
      <c r="I1256" t="str">
        <f>VLOOKUP(G1256,Kostenstellen!$A$1:$C$17,2,0)</f>
        <v>Product</v>
      </c>
    </row>
    <row r="1257" spans="1:9" x14ac:dyDescent="0.2">
      <c r="A1257">
        <v>6425</v>
      </c>
      <c r="B1257" s="7">
        <v>46003</v>
      </c>
      <c r="C1257" t="s">
        <v>444</v>
      </c>
      <c r="D1257" t="s">
        <v>1030</v>
      </c>
      <c r="E1257">
        <v>94.04</v>
      </c>
      <c r="G1257">
        <v>235</v>
      </c>
      <c r="H1257" s="7">
        <v>45994</v>
      </c>
      <c r="I1257" t="str">
        <f>VLOOKUP(G1257,Kostenstellen!$A$1:$C$17,2,0)</f>
        <v>Marketing</v>
      </c>
    </row>
    <row r="1258" spans="1:9" x14ac:dyDescent="0.2">
      <c r="A1258">
        <v>6425</v>
      </c>
      <c r="B1258" s="7">
        <v>46006</v>
      </c>
      <c r="C1258" t="s">
        <v>771</v>
      </c>
      <c r="D1258" t="s">
        <v>1047</v>
      </c>
      <c r="E1258">
        <v>8.64</v>
      </c>
      <c r="G1258">
        <v>230</v>
      </c>
      <c r="H1258" s="7">
        <v>46003</v>
      </c>
      <c r="I1258" t="str">
        <f>VLOOKUP(G1258,Kostenstellen!$A$1:$C$17,2,0)</f>
        <v>Sales</v>
      </c>
    </row>
    <row r="1259" spans="1:9" x14ac:dyDescent="0.2">
      <c r="A1259">
        <v>6425</v>
      </c>
      <c r="B1259" s="7">
        <v>46006</v>
      </c>
      <c r="C1259" t="s">
        <v>731</v>
      </c>
      <c r="D1259" t="s">
        <v>732</v>
      </c>
      <c r="E1259">
        <v>34.979999999999997</v>
      </c>
      <c r="G1259">
        <v>230</v>
      </c>
      <c r="H1259" s="7">
        <v>46004</v>
      </c>
      <c r="I1259" t="str">
        <f>VLOOKUP(G1259,Kostenstellen!$A$1:$C$17,2,0)</f>
        <v>Sales</v>
      </c>
    </row>
    <row r="1260" spans="1:9" x14ac:dyDescent="0.2">
      <c r="A1260">
        <v>6425</v>
      </c>
      <c r="B1260" s="7">
        <v>46006</v>
      </c>
      <c r="C1260" t="s">
        <v>1048</v>
      </c>
      <c r="D1260" t="s">
        <v>1049</v>
      </c>
      <c r="E1260">
        <v>250.67</v>
      </c>
      <c r="G1260">
        <v>210</v>
      </c>
      <c r="H1260" s="7">
        <v>46005</v>
      </c>
      <c r="I1260" t="str">
        <f>VLOOKUP(G1260,Kostenstellen!$A$1:$C$17,2,0)</f>
        <v>Dev</v>
      </c>
    </row>
    <row r="1261" spans="1:9" x14ac:dyDescent="0.2">
      <c r="A1261">
        <v>6425</v>
      </c>
      <c r="B1261" s="7">
        <v>46008</v>
      </c>
      <c r="C1261" t="s">
        <v>535</v>
      </c>
      <c r="D1261" t="s">
        <v>1050</v>
      </c>
      <c r="E1261">
        <v>28.56</v>
      </c>
      <c r="G1261">
        <v>235</v>
      </c>
      <c r="H1261" s="7">
        <v>46007</v>
      </c>
      <c r="I1261" t="str">
        <f>VLOOKUP(G1261,Kostenstellen!$A$1:$C$17,2,0)</f>
        <v>Marketing</v>
      </c>
    </row>
    <row r="1262" spans="1:9" x14ac:dyDescent="0.2">
      <c r="A1262">
        <v>6425</v>
      </c>
      <c r="B1262" s="7">
        <v>46008</v>
      </c>
      <c r="C1262" t="s">
        <v>446</v>
      </c>
      <c r="D1262" t="s">
        <v>1036</v>
      </c>
      <c r="E1262">
        <v>31.31</v>
      </c>
      <c r="G1262">
        <v>235</v>
      </c>
      <c r="H1262" s="7">
        <v>45997</v>
      </c>
      <c r="I1262" t="str">
        <f>VLOOKUP(G1262,Kostenstellen!$A$1:$C$17,2,0)</f>
        <v>Marketing</v>
      </c>
    </row>
    <row r="1263" spans="1:9" x14ac:dyDescent="0.2">
      <c r="A1263">
        <v>6425</v>
      </c>
      <c r="B1263" s="7">
        <v>46008</v>
      </c>
      <c r="C1263" t="s">
        <v>712</v>
      </c>
      <c r="D1263" t="s">
        <v>1051</v>
      </c>
      <c r="E1263">
        <v>130</v>
      </c>
      <c r="G1263">
        <v>230</v>
      </c>
      <c r="H1263" s="7">
        <v>46007</v>
      </c>
      <c r="I1263" t="str">
        <f>VLOOKUP(G1263,Kostenstellen!$A$1:$C$17,2,0)</f>
        <v>Sales</v>
      </c>
    </row>
    <row r="1264" spans="1:9" x14ac:dyDescent="0.2">
      <c r="A1264">
        <v>6425</v>
      </c>
      <c r="B1264" s="7">
        <v>46009</v>
      </c>
      <c r="C1264" t="s">
        <v>1052</v>
      </c>
      <c r="D1264" t="s">
        <v>1053</v>
      </c>
      <c r="E1264">
        <v>82.73</v>
      </c>
      <c r="G1264">
        <v>235</v>
      </c>
      <c r="H1264" s="7">
        <v>46008</v>
      </c>
      <c r="I1264" t="str">
        <f>VLOOKUP(G1264,Kostenstellen!$A$1:$C$17,2,0)</f>
        <v>Marketing</v>
      </c>
    </row>
    <row r="1265" spans="1:9" x14ac:dyDescent="0.2">
      <c r="A1265">
        <v>6425</v>
      </c>
      <c r="B1265" s="7">
        <v>46009</v>
      </c>
      <c r="C1265" t="s">
        <v>495</v>
      </c>
      <c r="D1265" t="s">
        <v>1054</v>
      </c>
      <c r="E1265">
        <v>432</v>
      </c>
      <c r="G1265">
        <v>230</v>
      </c>
      <c r="H1265" s="7">
        <v>46008</v>
      </c>
      <c r="I1265" t="str">
        <f>VLOOKUP(G1265,Kostenstellen!$A$1:$C$17,2,0)</f>
        <v>Sales</v>
      </c>
    </row>
    <row r="1266" spans="1:9" x14ac:dyDescent="0.2">
      <c r="A1266">
        <v>6425</v>
      </c>
      <c r="B1266" s="7">
        <v>46010</v>
      </c>
      <c r="C1266" t="s">
        <v>1055</v>
      </c>
      <c r="D1266" t="s">
        <v>1056</v>
      </c>
      <c r="E1266">
        <v>104.99</v>
      </c>
      <c r="G1266">
        <v>210</v>
      </c>
      <c r="H1266" s="7">
        <v>46009</v>
      </c>
      <c r="I1266" t="str">
        <f>VLOOKUP(G1266,Kostenstellen!$A$1:$C$17,2,0)</f>
        <v>Dev</v>
      </c>
    </row>
    <row r="1267" spans="1:9" x14ac:dyDescent="0.2">
      <c r="A1267">
        <v>6425</v>
      </c>
      <c r="B1267" s="7">
        <v>46013</v>
      </c>
      <c r="C1267" t="s">
        <v>1057</v>
      </c>
      <c r="D1267" s="8">
        <v>8.914948E-24</v>
      </c>
      <c r="E1267">
        <v>173.55</v>
      </c>
      <c r="G1267">
        <v>210</v>
      </c>
      <c r="H1267" s="7">
        <v>46009</v>
      </c>
      <c r="I1267" t="str">
        <f>VLOOKUP(G1267,Kostenstellen!$A$1:$C$17,2,0)</f>
        <v>Dev</v>
      </c>
    </row>
    <row r="1268" spans="1:9" x14ac:dyDescent="0.2">
      <c r="A1268">
        <v>6425</v>
      </c>
      <c r="B1268" s="7">
        <v>46013</v>
      </c>
      <c r="C1268" t="s">
        <v>716</v>
      </c>
      <c r="D1268" t="s">
        <v>1058</v>
      </c>
      <c r="E1268">
        <v>25.26</v>
      </c>
      <c r="G1268">
        <v>235</v>
      </c>
      <c r="H1268" s="7">
        <v>46010</v>
      </c>
      <c r="I1268" t="str">
        <f>VLOOKUP(G1268,Kostenstellen!$A$1:$C$17,2,0)</f>
        <v>Marketing</v>
      </c>
    </row>
    <row r="1269" spans="1:9" x14ac:dyDescent="0.2">
      <c r="A1269">
        <v>6425</v>
      </c>
      <c r="B1269" s="7">
        <v>46013</v>
      </c>
      <c r="C1269" t="s">
        <v>452</v>
      </c>
      <c r="D1269" t="s">
        <v>1059</v>
      </c>
      <c r="E1269">
        <v>18</v>
      </c>
      <c r="G1269">
        <v>235</v>
      </c>
      <c r="H1269" s="7">
        <v>46012</v>
      </c>
      <c r="I1269" t="str">
        <f>VLOOKUP(G1269,Kostenstellen!$A$1:$C$17,2,0)</f>
        <v>Marketing</v>
      </c>
    </row>
    <row r="1270" spans="1:9" x14ac:dyDescent="0.2">
      <c r="A1270">
        <v>6425</v>
      </c>
      <c r="B1270" s="7">
        <v>46013</v>
      </c>
      <c r="C1270" t="s">
        <v>1060</v>
      </c>
      <c r="D1270" t="s">
        <v>1061</v>
      </c>
      <c r="E1270">
        <v>42.71</v>
      </c>
      <c r="G1270">
        <v>210</v>
      </c>
      <c r="H1270" s="7">
        <v>46011</v>
      </c>
      <c r="I1270" t="str">
        <f>VLOOKUP(G1270,Kostenstellen!$A$1:$C$17,2,0)</f>
        <v>Dev</v>
      </c>
    </row>
    <row r="1271" spans="1:9" x14ac:dyDescent="0.2">
      <c r="A1271">
        <v>6425</v>
      </c>
      <c r="B1271" s="7">
        <v>46015</v>
      </c>
      <c r="C1271" t="s">
        <v>495</v>
      </c>
      <c r="D1271" t="s">
        <v>1062</v>
      </c>
      <c r="E1271">
        <v>31.52</v>
      </c>
      <c r="G1271">
        <v>230</v>
      </c>
      <c r="H1271" s="7">
        <v>46014</v>
      </c>
      <c r="I1271" t="str">
        <f>VLOOKUP(G1271,Kostenstellen!$A$1:$C$17,2,0)</f>
        <v>Sales</v>
      </c>
    </row>
    <row r="1272" spans="1:9" x14ac:dyDescent="0.2">
      <c r="A1272">
        <v>6425</v>
      </c>
      <c r="B1272" s="7">
        <v>46019</v>
      </c>
      <c r="C1272" t="s">
        <v>1063</v>
      </c>
      <c r="D1272" t="s">
        <v>1064</v>
      </c>
      <c r="E1272">
        <v>900</v>
      </c>
      <c r="G1272">
        <v>200</v>
      </c>
      <c r="I1272" t="str">
        <f>VLOOKUP(G1272,Kostenstellen!$A$1:$C$17,2,0)</f>
        <v>aqua</v>
      </c>
    </row>
    <row r="1273" spans="1:9" x14ac:dyDescent="0.2">
      <c r="A1273">
        <v>6425</v>
      </c>
      <c r="B1273" s="7">
        <v>46020</v>
      </c>
      <c r="C1273" t="s">
        <v>454</v>
      </c>
      <c r="D1273" t="s">
        <v>1065</v>
      </c>
      <c r="E1273">
        <v>86.68</v>
      </c>
      <c r="G1273">
        <v>210</v>
      </c>
      <c r="H1273" s="7">
        <v>46016</v>
      </c>
      <c r="I1273" t="str">
        <f>VLOOKUP(G1273,Kostenstellen!$A$1:$C$17,2,0)</f>
        <v>Dev</v>
      </c>
    </row>
    <row r="1274" spans="1:9" x14ac:dyDescent="0.2">
      <c r="A1274">
        <v>6425</v>
      </c>
      <c r="B1274" s="7">
        <v>46020</v>
      </c>
      <c r="C1274" t="s">
        <v>456</v>
      </c>
      <c r="D1274" s="8" t="s">
        <v>1066</v>
      </c>
      <c r="E1274">
        <v>69.34</v>
      </c>
      <c r="G1274">
        <v>210</v>
      </c>
      <c r="H1274" s="7">
        <v>46017</v>
      </c>
      <c r="I1274" t="str">
        <f>VLOOKUP(G1274,Kostenstellen!$A$1:$C$17,2,0)</f>
        <v>Dev</v>
      </c>
    </row>
    <row r="1275" spans="1:9" x14ac:dyDescent="0.2">
      <c r="A1275">
        <v>6425</v>
      </c>
      <c r="B1275" s="7">
        <v>46020</v>
      </c>
      <c r="C1275" t="s">
        <v>430</v>
      </c>
      <c r="D1275" t="s">
        <v>1067</v>
      </c>
      <c r="E1275">
        <v>17.350000000000001</v>
      </c>
      <c r="G1275">
        <v>220</v>
      </c>
      <c r="I1275" t="str">
        <f>VLOOKUP(G1275,Kostenstellen!$A$1:$C$17,2,0)</f>
        <v>Product</v>
      </c>
    </row>
    <row r="1276" spans="1:9" x14ac:dyDescent="0.2">
      <c r="A1276">
        <v>6425</v>
      </c>
      <c r="B1276" s="7">
        <v>46020</v>
      </c>
      <c r="C1276" t="s">
        <v>562</v>
      </c>
      <c r="D1276" t="s">
        <v>1068</v>
      </c>
      <c r="E1276">
        <v>52.04</v>
      </c>
      <c r="G1276">
        <v>220</v>
      </c>
      <c r="H1276" s="7">
        <v>46019</v>
      </c>
      <c r="I1276" t="str">
        <f>VLOOKUP(G1276,Kostenstellen!$A$1:$C$17,2,0)</f>
        <v>Product</v>
      </c>
    </row>
    <row r="1277" spans="1:9" x14ac:dyDescent="0.2">
      <c r="A1277">
        <v>6425</v>
      </c>
      <c r="B1277" s="7">
        <v>46020</v>
      </c>
      <c r="C1277" t="s">
        <v>442</v>
      </c>
      <c r="D1277" t="s">
        <v>1069</v>
      </c>
      <c r="E1277">
        <v>8.67</v>
      </c>
      <c r="G1277">
        <v>210</v>
      </c>
      <c r="H1277" s="7">
        <v>46018</v>
      </c>
      <c r="I1277" t="str">
        <f>VLOOKUP(G1277,Kostenstellen!$A$1:$C$17,2,0)</f>
        <v>Dev</v>
      </c>
    </row>
    <row r="1278" spans="1:9" x14ac:dyDescent="0.2">
      <c r="A1278">
        <v>6425</v>
      </c>
      <c r="B1278" s="7">
        <v>46021</v>
      </c>
      <c r="C1278" t="s">
        <v>501</v>
      </c>
      <c r="D1278" t="s">
        <v>1070</v>
      </c>
      <c r="E1278">
        <v>8.67</v>
      </c>
      <c r="G1278">
        <v>235</v>
      </c>
      <c r="H1278" s="7">
        <v>46020</v>
      </c>
      <c r="I1278" t="str">
        <f>VLOOKUP(G1278,Kostenstellen!$A$1:$C$17,2,0)</f>
        <v>Marketing</v>
      </c>
    </row>
    <row r="1279" spans="1:9" x14ac:dyDescent="0.2">
      <c r="A1279">
        <v>6425</v>
      </c>
      <c r="B1279" s="7">
        <v>46021</v>
      </c>
      <c r="C1279" t="s">
        <v>442</v>
      </c>
      <c r="D1279" t="s">
        <v>1071</v>
      </c>
      <c r="E1279">
        <v>390.21</v>
      </c>
      <c r="G1279">
        <v>210</v>
      </c>
      <c r="H1279" s="7">
        <v>46020</v>
      </c>
      <c r="I1279" t="str">
        <f>VLOOKUP(G1279,Kostenstellen!$A$1:$C$17,2,0)</f>
        <v>Dev</v>
      </c>
    </row>
    <row r="1280" spans="1:9" x14ac:dyDescent="0.2">
      <c r="A1280">
        <v>6425</v>
      </c>
      <c r="B1280" s="7">
        <v>46021</v>
      </c>
      <c r="C1280" t="s">
        <v>501</v>
      </c>
      <c r="D1280" t="s">
        <v>998</v>
      </c>
      <c r="E1280">
        <v>8.67</v>
      </c>
      <c r="G1280">
        <v>235</v>
      </c>
      <c r="I1280" t="str">
        <f>VLOOKUP(G1280,Kostenstellen!$A$1:$C$17,2,0)</f>
        <v>Marketing</v>
      </c>
    </row>
    <row r="1281" spans="1:9" x14ac:dyDescent="0.2">
      <c r="A1281">
        <v>6425</v>
      </c>
      <c r="B1281" s="7">
        <v>46022</v>
      </c>
      <c r="C1281" t="s">
        <v>615</v>
      </c>
      <c r="D1281" t="s">
        <v>352</v>
      </c>
      <c r="E1281">
        <v>224.8</v>
      </c>
      <c r="G1281">
        <v>210</v>
      </c>
      <c r="I1281" t="str">
        <f>VLOOKUP(G1281,Kostenstellen!$A$1:$C$17,2,0)</f>
        <v>Dev</v>
      </c>
    </row>
    <row r="1282" spans="1:9" x14ac:dyDescent="0.2">
      <c r="A1282">
        <v>6425</v>
      </c>
      <c r="B1282" s="7">
        <v>46022</v>
      </c>
      <c r="C1282" t="s">
        <v>800</v>
      </c>
      <c r="D1282" t="s">
        <v>352</v>
      </c>
      <c r="E1282">
        <v>86.29</v>
      </c>
      <c r="G1282">
        <v>210</v>
      </c>
      <c r="I1282" t="str">
        <f>VLOOKUP(G1282,Kostenstellen!$A$1:$C$17,2,0)</f>
        <v>Dev</v>
      </c>
    </row>
    <row r="1283" spans="1:9" x14ac:dyDescent="0.2">
      <c r="A1283">
        <v>6425</v>
      </c>
      <c r="B1283" s="7">
        <v>46022</v>
      </c>
      <c r="C1283" t="s">
        <v>465</v>
      </c>
      <c r="D1283">
        <v>20255000001</v>
      </c>
      <c r="E1283">
        <v>800</v>
      </c>
      <c r="G1283">
        <v>200</v>
      </c>
      <c r="I1283" t="str">
        <f>VLOOKUP(G1283,Kostenstellen!$A$1:$C$17,2,0)</f>
        <v>aqua</v>
      </c>
    </row>
    <row r="1284" spans="1:9" x14ac:dyDescent="0.2">
      <c r="A1284">
        <v>6425</v>
      </c>
      <c r="B1284" s="7">
        <v>46022</v>
      </c>
      <c r="C1284" t="s">
        <v>1072</v>
      </c>
      <c r="D1284" t="s">
        <v>1073</v>
      </c>
      <c r="E1284">
        <v>175.09</v>
      </c>
      <c r="G1284">
        <v>230</v>
      </c>
      <c r="I1284" t="str">
        <f>VLOOKUP(G1284,Kostenstellen!$A$1:$C$17,2,0)</f>
        <v>Sales</v>
      </c>
    </row>
    <row r="1285" spans="1:9" x14ac:dyDescent="0.2">
      <c r="A1285">
        <v>6425</v>
      </c>
      <c r="B1285" s="7">
        <v>46022</v>
      </c>
      <c r="C1285" t="s">
        <v>466</v>
      </c>
      <c r="D1285" t="s">
        <v>1074</v>
      </c>
      <c r="E1285">
        <v>16.809999999999999</v>
      </c>
      <c r="G1285">
        <v>210</v>
      </c>
      <c r="H1285" s="7">
        <v>46021</v>
      </c>
      <c r="I1285" t="str">
        <f>VLOOKUP(G1285,Kostenstellen!$A$1:$C$17,2,0)</f>
        <v>Dev</v>
      </c>
    </row>
    <row r="1286" spans="1:9" x14ac:dyDescent="0.2">
      <c r="A1286">
        <v>6530</v>
      </c>
      <c r="B1286" s="7">
        <v>45663</v>
      </c>
      <c r="C1286" t="s">
        <v>1075</v>
      </c>
      <c r="D1286" t="s">
        <v>1076</v>
      </c>
      <c r="E1286">
        <v>550</v>
      </c>
      <c r="G1286">
        <v>2011</v>
      </c>
      <c r="I1286" t="str">
        <f>VLOOKUP(G1286,Kostenstellen!$A$1:$C$17,2,0)</f>
        <v>Elsner</v>
      </c>
    </row>
    <row r="1287" spans="1:9" x14ac:dyDescent="0.2">
      <c r="A1287">
        <v>6530</v>
      </c>
      <c r="B1287" s="7">
        <v>45663</v>
      </c>
      <c r="C1287" t="s">
        <v>1077</v>
      </c>
      <c r="D1287" t="s">
        <v>1078</v>
      </c>
      <c r="E1287">
        <v>600</v>
      </c>
      <c r="G1287">
        <v>2001</v>
      </c>
      <c r="I1287" t="str">
        <f>VLOOKUP(G1287,Kostenstellen!$A$1:$C$17,2,0)</f>
        <v>Koch Martin</v>
      </c>
    </row>
    <row r="1288" spans="1:9" x14ac:dyDescent="0.2">
      <c r="A1288">
        <v>6530</v>
      </c>
      <c r="B1288" s="7">
        <v>45672</v>
      </c>
      <c r="C1288" t="s">
        <v>1079</v>
      </c>
      <c r="D1288" t="s">
        <v>1080</v>
      </c>
      <c r="E1288">
        <v>10.98</v>
      </c>
      <c r="G1288">
        <v>2001</v>
      </c>
      <c r="I1288" t="str">
        <f>VLOOKUP(G1288,Kostenstellen!$A$1:$C$17,2,0)</f>
        <v>Koch Martin</v>
      </c>
    </row>
    <row r="1289" spans="1:9" x14ac:dyDescent="0.2">
      <c r="A1289">
        <v>6530</v>
      </c>
      <c r="B1289" s="7">
        <v>45672</v>
      </c>
      <c r="C1289" t="s">
        <v>1079</v>
      </c>
      <c r="D1289" t="s">
        <v>1080</v>
      </c>
      <c r="E1289">
        <v>74.62</v>
      </c>
      <c r="G1289">
        <v>2001</v>
      </c>
      <c r="I1289" t="str">
        <f>VLOOKUP(G1289,Kostenstellen!$A$1:$C$17,2,0)</f>
        <v>Koch Martin</v>
      </c>
    </row>
    <row r="1290" spans="1:9" x14ac:dyDescent="0.2">
      <c r="A1290">
        <v>6530</v>
      </c>
      <c r="B1290" s="7">
        <v>45672</v>
      </c>
      <c r="C1290" t="s">
        <v>1081</v>
      </c>
      <c r="D1290" t="s">
        <v>1080</v>
      </c>
      <c r="E1290">
        <v>125.19</v>
      </c>
      <c r="G1290">
        <v>2011</v>
      </c>
      <c r="I1290" t="str">
        <f>VLOOKUP(G1290,Kostenstellen!$A$1:$C$17,2,0)</f>
        <v>Elsner</v>
      </c>
    </row>
    <row r="1291" spans="1:9" x14ac:dyDescent="0.2">
      <c r="A1291">
        <v>6530</v>
      </c>
      <c r="B1291" s="7">
        <v>45688</v>
      </c>
      <c r="C1291" t="s">
        <v>1079</v>
      </c>
      <c r="D1291" t="s">
        <v>1082</v>
      </c>
      <c r="E1291">
        <v>55.72</v>
      </c>
      <c r="G1291">
        <v>2001</v>
      </c>
      <c r="I1291" t="str">
        <f>VLOOKUP(G1291,Kostenstellen!$A$1:$C$17,2,0)</f>
        <v>Koch Martin</v>
      </c>
    </row>
    <row r="1292" spans="1:9" x14ac:dyDescent="0.2">
      <c r="A1292">
        <v>6530</v>
      </c>
      <c r="B1292" s="7">
        <v>45688</v>
      </c>
      <c r="C1292" t="s">
        <v>1081</v>
      </c>
      <c r="D1292" t="s">
        <v>1082</v>
      </c>
      <c r="E1292">
        <v>399.52</v>
      </c>
      <c r="G1292">
        <v>2011</v>
      </c>
      <c r="I1292" t="str">
        <f>VLOOKUP(G1292,Kostenstellen!$A$1:$C$17,2,0)</f>
        <v>Elsner</v>
      </c>
    </row>
    <row r="1293" spans="1:9" x14ac:dyDescent="0.2">
      <c r="A1293">
        <v>6530</v>
      </c>
      <c r="B1293" s="7">
        <v>45694</v>
      </c>
      <c r="C1293" t="s">
        <v>1083</v>
      </c>
      <c r="D1293" t="s">
        <v>1084</v>
      </c>
      <c r="E1293">
        <v>550</v>
      </c>
      <c r="G1293">
        <v>2011</v>
      </c>
      <c r="I1293" t="str">
        <f>VLOOKUP(G1293,Kostenstellen!$A$1:$C$17,2,0)</f>
        <v>Elsner</v>
      </c>
    </row>
    <row r="1294" spans="1:9" x14ac:dyDescent="0.2">
      <c r="A1294">
        <v>6530</v>
      </c>
      <c r="B1294" s="7">
        <v>45694</v>
      </c>
      <c r="C1294" t="s">
        <v>1085</v>
      </c>
      <c r="D1294" t="s">
        <v>1086</v>
      </c>
      <c r="E1294">
        <v>600</v>
      </c>
      <c r="G1294">
        <v>2001</v>
      </c>
      <c r="I1294" t="str">
        <f>VLOOKUP(G1294,Kostenstellen!$A$1:$C$17,2,0)</f>
        <v>Koch Martin</v>
      </c>
    </row>
    <row r="1295" spans="1:9" x14ac:dyDescent="0.2">
      <c r="A1295">
        <v>6530</v>
      </c>
      <c r="B1295" s="7">
        <v>45703</v>
      </c>
      <c r="C1295" t="s">
        <v>1087</v>
      </c>
      <c r="D1295" t="s">
        <v>1088</v>
      </c>
      <c r="E1295">
        <v>10.98</v>
      </c>
      <c r="G1295">
        <v>2011</v>
      </c>
      <c r="I1295" t="str">
        <f>VLOOKUP(G1295,Kostenstellen!$A$1:$C$17,2,0)</f>
        <v>Elsner</v>
      </c>
    </row>
    <row r="1296" spans="1:9" x14ac:dyDescent="0.2">
      <c r="A1296">
        <v>6530</v>
      </c>
      <c r="B1296" s="7">
        <v>45703</v>
      </c>
      <c r="C1296" t="s">
        <v>1089</v>
      </c>
      <c r="D1296" t="s">
        <v>1088</v>
      </c>
      <c r="E1296">
        <v>54.49</v>
      </c>
      <c r="G1296">
        <v>2001</v>
      </c>
      <c r="I1296" t="str">
        <f>VLOOKUP(G1296,Kostenstellen!$A$1:$C$17,2,0)</f>
        <v>Koch Martin</v>
      </c>
    </row>
    <row r="1297" spans="1:9" x14ac:dyDescent="0.2">
      <c r="A1297">
        <v>6530</v>
      </c>
      <c r="B1297" s="7">
        <v>45703</v>
      </c>
      <c r="C1297" t="s">
        <v>1087</v>
      </c>
      <c r="D1297" t="s">
        <v>1088</v>
      </c>
      <c r="E1297">
        <v>134.63</v>
      </c>
      <c r="G1297">
        <v>2011</v>
      </c>
      <c r="I1297" t="str">
        <f>VLOOKUP(G1297,Kostenstellen!$A$1:$C$17,2,0)</f>
        <v>Elsner</v>
      </c>
    </row>
    <row r="1298" spans="1:9" x14ac:dyDescent="0.2">
      <c r="A1298">
        <v>6530</v>
      </c>
      <c r="B1298" s="7">
        <v>45713</v>
      </c>
      <c r="C1298" t="s">
        <v>1090</v>
      </c>
      <c r="D1298" t="s">
        <v>1091</v>
      </c>
      <c r="E1298">
        <v>574.03</v>
      </c>
      <c r="G1298">
        <v>2011</v>
      </c>
      <c r="I1298" t="str">
        <f>VLOOKUP(G1298,Kostenstellen!$A$1:$C$17,2,0)</f>
        <v>Elsner</v>
      </c>
    </row>
    <row r="1299" spans="1:9" x14ac:dyDescent="0.2">
      <c r="A1299">
        <v>6530</v>
      </c>
      <c r="B1299" s="7">
        <v>45716</v>
      </c>
      <c r="C1299" t="s">
        <v>1087</v>
      </c>
      <c r="D1299" t="s">
        <v>1092</v>
      </c>
      <c r="E1299">
        <v>454.33</v>
      </c>
      <c r="G1299">
        <v>2011</v>
      </c>
      <c r="I1299" t="str">
        <f>VLOOKUP(G1299,Kostenstellen!$A$1:$C$17,2,0)</f>
        <v>Elsner</v>
      </c>
    </row>
    <row r="1300" spans="1:9" x14ac:dyDescent="0.2">
      <c r="A1300">
        <v>6530</v>
      </c>
      <c r="B1300" s="7">
        <v>45722</v>
      </c>
      <c r="C1300" t="s">
        <v>1093</v>
      </c>
      <c r="D1300" t="s">
        <v>1094</v>
      </c>
      <c r="E1300">
        <v>600</v>
      </c>
      <c r="G1300">
        <v>2001</v>
      </c>
      <c r="I1300" t="str">
        <f>VLOOKUP(G1300,Kostenstellen!$A$1:$C$17,2,0)</f>
        <v>Koch Martin</v>
      </c>
    </row>
    <row r="1301" spans="1:9" x14ac:dyDescent="0.2">
      <c r="A1301">
        <v>6530</v>
      </c>
      <c r="B1301" s="7">
        <v>45731</v>
      </c>
      <c r="C1301" t="s">
        <v>1095</v>
      </c>
      <c r="D1301" t="s">
        <v>1096</v>
      </c>
      <c r="E1301">
        <v>10.98</v>
      </c>
      <c r="G1301">
        <v>2001</v>
      </c>
      <c r="I1301" t="str">
        <f>VLOOKUP(G1301,Kostenstellen!$A$1:$C$17,2,0)</f>
        <v>Koch Martin</v>
      </c>
    </row>
    <row r="1302" spans="1:9" x14ac:dyDescent="0.2">
      <c r="A1302">
        <v>6530</v>
      </c>
      <c r="B1302" s="7">
        <v>45731</v>
      </c>
      <c r="C1302" t="s">
        <v>1095</v>
      </c>
      <c r="D1302" t="s">
        <v>1096</v>
      </c>
      <c r="E1302">
        <v>59.43</v>
      </c>
      <c r="G1302">
        <v>2001</v>
      </c>
      <c r="I1302" t="str">
        <f>VLOOKUP(G1302,Kostenstellen!$A$1:$C$17,2,0)</f>
        <v>Koch Martin</v>
      </c>
    </row>
    <row r="1303" spans="1:9" x14ac:dyDescent="0.2">
      <c r="A1303">
        <v>6530</v>
      </c>
      <c r="B1303" s="7">
        <v>45731</v>
      </c>
      <c r="C1303" t="s">
        <v>1097</v>
      </c>
      <c r="D1303" t="s">
        <v>1096</v>
      </c>
      <c r="E1303">
        <v>153.47999999999999</v>
      </c>
      <c r="G1303">
        <v>2011</v>
      </c>
      <c r="I1303" t="str">
        <f>VLOOKUP(G1303,Kostenstellen!$A$1:$C$17,2,0)</f>
        <v>Elsner</v>
      </c>
    </row>
    <row r="1304" spans="1:9" x14ac:dyDescent="0.2">
      <c r="A1304">
        <v>6530</v>
      </c>
      <c r="B1304" s="7">
        <v>45741</v>
      </c>
      <c r="C1304" t="s">
        <v>1098</v>
      </c>
      <c r="D1304" t="s">
        <v>1099</v>
      </c>
      <c r="E1304">
        <v>574.03</v>
      </c>
      <c r="G1304">
        <v>2011</v>
      </c>
      <c r="I1304" t="str">
        <f>VLOOKUP(G1304,Kostenstellen!$A$1:$C$17,2,0)</f>
        <v>Elsner</v>
      </c>
    </row>
    <row r="1305" spans="1:9" x14ac:dyDescent="0.2">
      <c r="A1305">
        <v>6530</v>
      </c>
      <c r="B1305" s="7">
        <v>45747</v>
      </c>
      <c r="C1305" t="s">
        <v>1095</v>
      </c>
      <c r="D1305" t="s">
        <v>559</v>
      </c>
      <c r="E1305">
        <v>119.07</v>
      </c>
      <c r="G1305">
        <v>2001</v>
      </c>
      <c r="I1305" t="str">
        <f>VLOOKUP(G1305,Kostenstellen!$A$1:$C$17,2,0)</f>
        <v>Koch Martin</v>
      </c>
    </row>
    <row r="1306" spans="1:9" x14ac:dyDescent="0.2">
      <c r="A1306">
        <v>6530</v>
      </c>
      <c r="B1306" s="7">
        <v>45747</v>
      </c>
      <c r="C1306" t="s">
        <v>1097</v>
      </c>
      <c r="D1306" t="s">
        <v>559</v>
      </c>
      <c r="E1306">
        <v>72.55</v>
      </c>
      <c r="G1306">
        <v>2011</v>
      </c>
      <c r="I1306" t="str">
        <f>VLOOKUP(G1306,Kostenstellen!$A$1:$C$17,2,0)</f>
        <v>Elsner</v>
      </c>
    </row>
    <row r="1307" spans="1:9" x14ac:dyDescent="0.2">
      <c r="A1307">
        <v>6530</v>
      </c>
      <c r="B1307" s="7">
        <v>45753</v>
      </c>
      <c r="C1307" t="s">
        <v>1100</v>
      </c>
      <c r="D1307" t="s">
        <v>1101</v>
      </c>
      <c r="E1307">
        <v>600</v>
      </c>
      <c r="G1307">
        <v>2001</v>
      </c>
      <c r="I1307" t="str">
        <f>VLOOKUP(G1307,Kostenstellen!$A$1:$C$17,2,0)</f>
        <v>Koch Martin</v>
      </c>
    </row>
    <row r="1308" spans="1:9" x14ac:dyDescent="0.2">
      <c r="A1308">
        <v>6530</v>
      </c>
      <c r="B1308" s="7">
        <v>45762</v>
      </c>
      <c r="C1308" t="s">
        <v>1102</v>
      </c>
      <c r="D1308" t="s">
        <v>1103</v>
      </c>
      <c r="E1308">
        <v>10.98</v>
      </c>
      <c r="G1308">
        <v>2011</v>
      </c>
      <c r="I1308" t="str">
        <f>VLOOKUP(G1308,Kostenstellen!$A$1:$C$17,2,0)</f>
        <v>Elsner</v>
      </c>
    </row>
    <row r="1309" spans="1:9" x14ac:dyDescent="0.2">
      <c r="A1309">
        <v>6530</v>
      </c>
      <c r="B1309" s="7">
        <v>45762</v>
      </c>
      <c r="C1309" t="s">
        <v>1102</v>
      </c>
      <c r="D1309" t="s">
        <v>1103</v>
      </c>
      <c r="E1309">
        <v>79.5</v>
      </c>
      <c r="G1309">
        <v>2011</v>
      </c>
      <c r="I1309" t="str">
        <f>VLOOKUP(G1309,Kostenstellen!$A$1:$C$17,2,0)</f>
        <v>Elsner</v>
      </c>
    </row>
    <row r="1310" spans="1:9" x14ac:dyDescent="0.2">
      <c r="A1310">
        <v>6530</v>
      </c>
      <c r="B1310" s="7">
        <v>45772</v>
      </c>
      <c r="C1310" t="s">
        <v>1098</v>
      </c>
      <c r="D1310" t="s">
        <v>1104</v>
      </c>
      <c r="E1310">
        <v>574.03</v>
      </c>
      <c r="G1310">
        <v>2011</v>
      </c>
      <c r="I1310" t="str">
        <f>VLOOKUP(G1310,Kostenstellen!$A$1:$C$17,2,0)</f>
        <v>Elsner</v>
      </c>
    </row>
    <row r="1311" spans="1:9" x14ac:dyDescent="0.2">
      <c r="A1311">
        <v>6530</v>
      </c>
      <c r="B1311" s="7">
        <v>45777</v>
      </c>
      <c r="C1311" t="s">
        <v>1105</v>
      </c>
      <c r="D1311" t="s">
        <v>1106</v>
      </c>
      <c r="E1311">
        <v>63.61</v>
      </c>
      <c r="G1311">
        <v>2001</v>
      </c>
      <c r="I1311" t="str">
        <f>VLOOKUP(G1311,Kostenstellen!$A$1:$C$17,2,0)</f>
        <v>Koch Martin</v>
      </c>
    </row>
    <row r="1312" spans="1:9" x14ac:dyDescent="0.2">
      <c r="A1312">
        <v>6530</v>
      </c>
      <c r="B1312" s="7">
        <v>45777</v>
      </c>
      <c r="C1312" t="s">
        <v>1102</v>
      </c>
      <c r="D1312" t="s">
        <v>1106</v>
      </c>
      <c r="E1312">
        <v>69.180000000000007</v>
      </c>
      <c r="G1312">
        <v>2011</v>
      </c>
      <c r="I1312" t="str">
        <f>VLOOKUP(G1312,Kostenstellen!$A$1:$C$17,2,0)</f>
        <v>Elsner</v>
      </c>
    </row>
    <row r="1313" spans="1:9" x14ac:dyDescent="0.2">
      <c r="A1313">
        <v>6530</v>
      </c>
      <c r="B1313" s="7">
        <v>45783</v>
      </c>
      <c r="C1313" t="s">
        <v>1107</v>
      </c>
      <c r="D1313" t="s">
        <v>1108</v>
      </c>
      <c r="E1313">
        <v>600</v>
      </c>
      <c r="G1313">
        <v>2001</v>
      </c>
      <c r="I1313" t="str">
        <f>VLOOKUP(G1313,Kostenstellen!$A$1:$C$17,2,0)</f>
        <v>Koch Martin</v>
      </c>
    </row>
    <row r="1314" spans="1:9" x14ac:dyDescent="0.2">
      <c r="A1314">
        <v>6530</v>
      </c>
      <c r="B1314" s="7">
        <v>45792</v>
      </c>
      <c r="C1314" t="s">
        <v>1109</v>
      </c>
      <c r="D1314" t="s">
        <v>1110</v>
      </c>
      <c r="E1314">
        <v>10.98</v>
      </c>
      <c r="G1314">
        <v>2001</v>
      </c>
      <c r="I1314" t="str">
        <f>VLOOKUP(G1314,Kostenstellen!$A$1:$C$17,2,0)</f>
        <v>Koch Martin</v>
      </c>
    </row>
    <row r="1315" spans="1:9" x14ac:dyDescent="0.2">
      <c r="A1315">
        <v>6530</v>
      </c>
      <c r="B1315" s="7">
        <v>45792</v>
      </c>
      <c r="C1315" t="s">
        <v>1109</v>
      </c>
      <c r="D1315" t="s">
        <v>1110</v>
      </c>
      <c r="E1315">
        <v>55.2</v>
      </c>
      <c r="G1315">
        <v>2001</v>
      </c>
      <c r="I1315" t="str">
        <f>VLOOKUP(G1315,Kostenstellen!$A$1:$C$17,2,0)</f>
        <v>Koch Martin</v>
      </c>
    </row>
    <row r="1316" spans="1:9" x14ac:dyDescent="0.2">
      <c r="A1316">
        <v>6530</v>
      </c>
      <c r="B1316" s="7">
        <v>45792</v>
      </c>
      <c r="C1316" t="s">
        <v>1111</v>
      </c>
      <c r="D1316" t="s">
        <v>1110</v>
      </c>
      <c r="E1316">
        <v>151.19999999999999</v>
      </c>
      <c r="G1316">
        <v>2011</v>
      </c>
      <c r="I1316" t="str">
        <f>VLOOKUP(G1316,Kostenstellen!$A$1:$C$17,2,0)</f>
        <v>Elsner</v>
      </c>
    </row>
    <row r="1317" spans="1:9" x14ac:dyDescent="0.2">
      <c r="A1317">
        <v>6530</v>
      </c>
      <c r="B1317" s="7">
        <v>45803</v>
      </c>
      <c r="C1317" t="s">
        <v>1098</v>
      </c>
      <c r="D1317" t="s">
        <v>1112</v>
      </c>
      <c r="E1317">
        <v>574.03</v>
      </c>
      <c r="G1317">
        <v>2011</v>
      </c>
      <c r="I1317" t="str">
        <f>VLOOKUP(G1317,Kostenstellen!$A$1:$C$17,2,0)</f>
        <v>Elsner</v>
      </c>
    </row>
    <row r="1318" spans="1:9" x14ac:dyDescent="0.2">
      <c r="A1318">
        <v>6530</v>
      </c>
      <c r="B1318" s="7">
        <v>45808</v>
      </c>
      <c r="C1318" t="s">
        <v>1109</v>
      </c>
      <c r="D1318" t="s">
        <v>1113</v>
      </c>
      <c r="E1318">
        <v>118.64</v>
      </c>
      <c r="G1318">
        <v>2001</v>
      </c>
      <c r="I1318" t="str">
        <f>VLOOKUP(G1318,Kostenstellen!$A$1:$C$17,2,0)</f>
        <v>Koch Martin</v>
      </c>
    </row>
    <row r="1319" spans="1:9" x14ac:dyDescent="0.2">
      <c r="A1319">
        <v>6530</v>
      </c>
      <c r="B1319" s="7">
        <v>45808</v>
      </c>
      <c r="C1319" t="s">
        <v>1111</v>
      </c>
      <c r="D1319" t="s">
        <v>1113</v>
      </c>
      <c r="E1319">
        <v>393.53</v>
      </c>
      <c r="G1319">
        <v>2011</v>
      </c>
      <c r="I1319" t="str">
        <f>VLOOKUP(G1319,Kostenstellen!$A$1:$C$17,2,0)</f>
        <v>Elsner</v>
      </c>
    </row>
    <row r="1320" spans="1:9" x14ac:dyDescent="0.2">
      <c r="A1320">
        <v>6530</v>
      </c>
      <c r="B1320" s="7">
        <v>45814</v>
      </c>
      <c r="C1320" t="s">
        <v>1114</v>
      </c>
      <c r="D1320" t="s">
        <v>1115</v>
      </c>
      <c r="E1320">
        <v>600</v>
      </c>
      <c r="G1320">
        <v>2001</v>
      </c>
      <c r="I1320" t="str">
        <f>VLOOKUP(G1320,Kostenstellen!$A$1:$C$17,2,0)</f>
        <v>Koch Martin</v>
      </c>
    </row>
    <row r="1321" spans="1:9" x14ac:dyDescent="0.2">
      <c r="A1321">
        <v>6530</v>
      </c>
      <c r="B1321" s="7">
        <v>45823</v>
      </c>
      <c r="C1321" t="s">
        <v>1116</v>
      </c>
      <c r="D1321" t="s">
        <v>1117</v>
      </c>
      <c r="E1321">
        <v>10.98</v>
      </c>
      <c r="G1321">
        <v>2011</v>
      </c>
      <c r="I1321" t="str">
        <f>VLOOKUP(G1321,Kostenstellen!$A$1:$C$17,2,0)</f>
        <v>Elsner</v>
      </c>
    </row>
    <row r="1322" spans="1:9" x14ac:dyDescent="0.2">
      <c r="A1322">
        <v>6530</v>
      </c>
      <c r="B1322" s="7">
        <v>45823</v>
      </c>
      <c r="C1322" t="s">
        <v>1118</v>
      </c>
      <c r="D1322" t="s">
        <v>1117</v>
      </c>
      <c r="E1322">
        <v>55.81</v>
      </c>
      <c r="G1322">
        <v>2001</v>
      </c>
      <c r="I1322" t="str">
        <f>VLOOKUP(G1322,Kostenstellen!$A$1:$C$17,2,0)</f>
        <v>Koch Martin</v>
      </c>
    </row>
    <row r="1323" spans="1:9" x14ac:dyDescent="0.2">
      <c r="A1323">
        <v>6530</v>
      </c>
      <c r="B1323" s="7">
        <v>45823</v>
      </c>
      <c r="C1323" t="s">
        <v>1116</v>
      </c>
      <c r="D1323" t="s">
        <v>1117</v>
      </c>
      <c r="E1323">
        <v>112.89</v>
      </c>
      <c r="G1323">
        <v>2011</v>
      </c>
      <c r="I1323" t="str">
        <f>VLOOKUP(G1323,Kostenstellen!$A$1:$C$17,2,0)</f>
        <v>Elsner</v>
      </c>
    </row>
    <row r="1324" spans="1:9" x14ac:dyDescent="0.2">
      <c r="A1324">
        <v>6530</v>
      </c>
      <c r="B1324" s="7">
        <v>45823</v>
      </c>
      <c r="C1324" t="s">
        <v>1118</v>
      </c>
      <c r="D1324" t="s">
        <v>1117</v>
      </c>
      <c r="E1324">
        <v>1.76</v>
      </c>
      <c r="G1324">
        <v>2001</v>
      </c>
      <c r="I1324" t="str">
        <f>VLOOKUP(G1324,Kostenstellen!$A$1:$C$17,2,0)</f>
        <v>Koch Martin</v>
      </c>
    </row>
    <row r="1325" spans="1:9" x14ac:dyDescent="0.2">
      <c r="A1325">
        <v>6530</v>
      </c>
      <c r="B1325" s="7">
        <v>45833</v>
      </c>
      <c r="C1325" t="s">
        <v>1098</v>
      </c>
      <c r="D1325" t="s">
        <v>1119</v>
      </c>
      <c r="E1325">
        <v>574.03</v>
      </c>
      <c r="G1325">
        <v>2011</v>
      </c>
      <c r="I1325" t="str">
        <f>VLOOKUP(G1325,Kostenstellen!$A$1:$C$17,2,0)</f>
        <v>Elsner</v>
      </c>
    </row>
    <row r="1326" spans="1:9" x14ac:dyDescent="0.2">
      <c r="A1326">
        <v>6530</v>
      </c>
      <c r="B1326" s="7">
        <v>45838</v>
      </c>
      <c r="C1326" t="s">
        <v>1116</v>
      </c>
      <c r="D1326" t="s">
        <v>352</v>
      </c>
      <c r="E1326">
        <v>569.29999999999995</v>
      </c>
      <c r="G1326">
        <v>2011</v>
      </c>
      <c r="I1326" t="str">
        <f>VLOOKUP(G1326,Kostenstellen!$A$1:$C$17,2,0)</f>
        <v>Elsner</v>
      </c>
    </row>
    <row r="1327" spans="1:9" x14ac:dyDescent="0.2">
      <c r="A1327">
        <v>6530</v>
      </c>
      <c r="B1327" s="7">
        <v>45838</v>
      </c>
      <c r="C1327" t="s">
        <v>1120</v>
      </c>
      <c r="D1327" t="s">
        <v>352</v>
      </c>
      <c r="E1327">
        <v>61.5</v>
      </c>
      <c r="G1327">
        <v>2011</v>
      </c>
      <c r="I1327" t="str">
        <f>VLOOKUP(G1327,Kostenstellen!$A$1:$C$17,2,0)</f>
        <v>Elsner</v>
      </c>
    </row>
    <row r="1328" spans="1:9" x14ac:dyDescent="0.2">
      <c r="A1328">
        <v>6530</v>
      </c>
      <c r="B1328" s="7">
        <v>45844</v>
      </c>
      <c r="C1328" t="s">
        <v>1121</v>
      </c>
      <c r="D1328" t="s">
        <v>1122</v>
      </c>
      <c r="E1328">
        <v>600</v>
      </c>
      <c r="G1328">
        <v>2001</v>
      </c>
      <c r="I1328" t="str">
        <f>VLOOKUP(G1328,Kostenstellen!$A$1:$C$17,2,0)</f>
        <v>Koch Martin</v>
      </c>
    </row>
    <row r="1329" spans="1:9" x14ac:dyDescent="0.2">
      <c r="A1329">
        <v>6530</v>
      </c>
      <c r="B1329" s="7">
        <v>45853</v>
      </c>
      <c r="C1329" t="s">
        <v>1123</v>
      </c>
      <c r="D1329" t="s">
        <v>1124</v>
      </c>
      <c r="E1329">
        <v>10.98</v>
      </c>
      <c r="G1329">
        <v>2001</v>
      </c>
      <c r="I1329" t="str">
        <f>VLOOKUP(G1329,Kostenstellen!$A$1:$C$17,2,0)</f>
        <v>Koch Martin</v>
      </c>
    </row>
    <row r="1330" spans="1:9" x14ac:dyDescent="0.2">
      <c r="A1330">
        <v>6530</v>
      </c>
      <c r="B1330" s="7">
        <v>45853</v>
      </c>
      <c r="C1330" t="s">
        <v>1123</v>
      </c>
      <c r="D1330" t="s">
        <v>1124</v>
      </c>
      <c r="E1330">
        <v>59.65</v>
      </c>
      <c r="G1330">
        <v>2001</v>
      </c>
      <c r="I1330" t="str">
        <f>VLOOKUP(G1330,Kostenstellen!$A$1:$C$17,2,0)</f>
        <v>Koch Martin</v>
      </c>
    </row>
    <row r="1331" spans="1:9" x14ac:dyDescent="0.2">
      <c r="A1331">
        <v>6530</v>
      </c>
      <c r="B1331" s="7">
        <v>45853</v>
      </c>
      <c r="C1331" t="s">
        <v>1125</v>
      </c>
      <c r="D1331" t="s">
        <v>1124</v>
      </c>
      <c r="E1331">
        <v>107.59</v>
      </c>
      <c r="G1331">
        <v>2011</v>
      </c>
      <c r="I1331" t="str">
        <f>VLOOKUP(G1331,Kostenstellen!$A$1:$C$17,2,0)</f>
        <v>Elsner</v>
      </c>
    </row>
    <row r="1332" spans="1:9" x14ac:dyDescent="0.2">
      <c r="A1332">
        <v>6530</v>
      </c>
      <c r="B1332" s="7">
        <v>45863</v>
      </c>
      <c r="C1332" t="s">
        <v>1098</v>
      </c>
      <c r="D1332" t="s">
        <v>1126</v>
      </c>
      <c r="E1332">
        <v>574.03</v>
      </c>
      <c r="G1332">
        <v>2011</v>
      </c>
      <c r="I1332" t="str">
        <f>VLOOKUP(G1332,Kostenstellen!$A$1:$C$17,2,0)</f>
        <v>Elsner</v>
      </c>
    </row>
    <row r="1333" spans="1:9" x14ac:dyDescent="0.2">
      <c r="A1333">
        <v>6530</v>
      </c>
      <c r="B1333" s="7">
        <v>45869</v>
      </c>
      <c r="C1333" t="s">
        <v>1123</v>
      </c>
      <c r="D1333" t="s">
        <v>1127</v>
      </c>
      <c r="E1333">
        <v>55.53</v>
      </c>
      <c r="G1333">
        <v>2001</v>
      </c>
      <c r="I1333" t="str">
        <f>VLOOKUP(G1333,Kostenstellen!$A$1:$C$17,2,0)</f>
        <v>Koch Martin</v>
      </c>
    </row>
    <row r="1334" spans="1:9" x14ac:dyDescent="0.2">
      <c r="A1334">
        <v>6530</v>
      </c>
      <c r="B1334" s="7">
        <v>45869</v>
      </c>
      <c r="C1334" t="s">
        <v>1125</v>
      </c>
      <c r="D1334" t="s">
        <v>1127</v>
      </c>
      <c r="E1334">
        <v>137.35</v>
      </c>
      <c r="G1334">
        <v>2011</v>
      </c>
      <c r="I1334" t="str">
        <f>VLOOKUP(G1334,Kostenstellen!$A$1:$C$17,2,0)</f>
        <v>Elsner</v>
      </c>
    </row>
    <row r="1335" spans="1:9" x14ac:dyDescent="0.2">
      <c r="A1335">
        <v>6530</v>
      </c>
      <c r="B1335" s="7">
        <v>45875</v>
      </c>
      <c r="C1335" t="s">
        <v>1128</v>
      </c>
      <c r="D1335" t="s">
        <v>1129</v>
      </c>
      <c r="E1335">
        <v>600</v>
      </c>
      <c r="G1335">
        <v>2001</v>
      </c>
      <c r="I1335" t="str">
        <f>VLOOKUP(G1335,Kostenstellen!$A$1:$C$17,2,0)</f>
        <v>Koch Martin</v>
      </c>
    </row>
    <row r="1336" spans="1:9" x14ac:dyDescent="0.2">
      <c r="A1336">
        <v>6530</v>
      </c>
      <c r="B1336" s="7">
        <v>45884</v>
      </c>
      <c r="C1336" t="s">
        <v>1130</v>
      </c>
      <c r="D1336" t="s">
        <v>1131</v>
      </c>
      <c r="E1336">
        <v>57.12</v>
      </c>
      <c r="G1336">
        <v>2011</v>
      </c>
      <c r="I1336" t="str">
        <f>VLOOKUP(G1336,Kostenstellen!$A$1:$C$17,2,0)</f>
        <v>Elsner</v>
      </c>
    </row>
    <row r="1337" spans="1:9" x14ac:dyDescent="0.2">
      <c r="A1337">
        <v>6530</v>
      </c>
      <c r="B1337" s="7">
        <v>45884</v>
      </c>
      <c r="C1337" t="s">
        <v>1130</v>
      </c>
      <c r="D1337" t="s">
        <v>1131</v>
      </c>
      <c r="E1337">
        <v>59.23</v>
      </c>
      <c r="G1337">
        <v>2011</v>
      </c>
      <c r="I1337" t="str">
        <f>VLOOKUP(G1337,Kostenstellen!$A$1:$C$17,2,0)</f>
        <v>Elsner</v>
      </c>
    </row>
    <row r="1338" spans="1:9" x14ac:dyDescent="0.2">
      <c r="A1338">
        <v>6530</v>
      </c>
      <c r="B1338" s="7">
        <v>45884</v>
      </c>
      <c r="C1338" t="s">
        <v>1130</v>
      </c>
      <c r="D1338" t="s">
        <v>1131</v>
      </c>
      <c r="E1338">
        <v>10.98</v>
      </c>
      <c r="G1338">
        <v>2011</v>
      </c>
      <c r="I1338" t="str">
        <f>VLOOKUP(G1338,Kostenstellen!$A$1:$C$17,2,0)</f>
        <v>Elsner</v>
      </c>
    </row>
    <row r="1339" spans="1:9" x14ac:dyDescent="0.2">
      <c r="A1339">
        <v>6530</v>
      </c>
      <c r="B1339" s="7">
        <v>45884</v>
      </c>
      <c r="C1339" t="s">
        <v>1130</v>
      </c>
      <c r="D1339" t="s">
        <v>1131</v>
      </c>
      <c r="E1339">
        <v>137.44999999999999</v>
      </c>
      <c r="G1339">
        <v>2011</v>
      </c>
      <c r="I1339" t="str">
        <f>VLOOKUP(G1339,Kostenstellen!$A$1:$C$17,2,0)</f>
        <v>Elsner</v>
      </c>
    </row>
    <row r="1340" spans="1:9" x14ac:dyDescent="0.2">
      <c r="A1340">
        <v>6530</v>
      </c>
      <c r="B1340" s="7">
        <v>45884</v>
      </c>
      <c r="C1340" t="s">
        <v>1132</v>
      </c>
      <c r="D1340" t="s">
        <v>1131</v>
      </c>
      <c r="E1340">
        <v>74.37</v>
      </c>
      <c r="G1340">
        <v>2001</v>
      </c>
      <c r="I1340" t="str">
        <f>VLOOKUP(G1340,Kostenstellen!$A$1:$C$17,2,0)</f>
        <v>Koch Martin</v>
      </c>
    </row>
    <row r="1341" spans="1:9" x14ac:dyDescent="0.2">
      <c r="A1341">
        <v>6530</v>
      </c>
      <c r="B1341" s="7">
        <v>45884</v>
      </c>
      <c r="C1341" t="s">
        <v>1130</v>
      </c>
      <c r="D1341" t="s">
        <v>1131</v>
      </c>
      <c r="E1341">
        <v>130.57</v>
      </c>
      <c r="G1341">
        <v>2011</v>
      </c>
      <c r="I1341" t="str">
        <f>VLOOKUP(G1341,Kostenstellen!$A$1:$C$17,2,0)</f>
        <v>Elsner</v>
      </c>
    </row>
    <row r="1342" spans="1:9" x14ac:dyDescent="0.2">
      <c r="A1342">
        <v>6530</v>
      </c>
      <c r="B1342" s="7">
        <v>45894</v>
      </c>
      <c r="C1342" t="s">
        <v>1098</v>
      </c>
      <c r="D1342" t="s">
        <v>1133</v>
      </c>
      <c r="E1342">
        <v>574.03</v>
      </c>
      <c r="G1342">
        <v>2011</v>
      </c>
      <c r="I1342" t="str">
        <f>VLOOKUP(G1342,Kostenstellen!$A$1:$C$17,2,0)</f>
        <v>Elsner</v>
      </c>
    </row>
    <row r="1343" spans="1:9" x14ac:dyDescent="0.2">
      <c r="A1343">
        <v>6530</v>
      </c>
      <c r="B1343" s="7">
        <v>45900</v>
      </c>
      <c r="C1343" t="s">
        <v>1132</v>
      </c>
      <c r="D1343" t="s">
        <v>1134</v>
      </c>
      <c r="E1343">
        <v>52.18</v>
      </c>
      <c r="G1343">
        <v>2001</v>
      </c>
      <c r="I1343" t="str">
        <f>VLOOKUP(G1343,Kostenstellen!$A$1:$C$17,2,0)</f>
        <v>Koch Martin</v>
      </c>
    </row>
    <row r="1344" spans="1:9" x14ac:dyDescent="0.2">
      <c r="A1344">
        <v>6530</v>
      </c>
      <c r="B1344" s="7">
        <v>45900</v>
      </c>
      <c r="C1344" t="s">
        <v>1130</v>
      </c>
      <c r="D1344" t="s">
        <v>1134</v>
      </c>
      <c r="E1344">
        <v>384.4</v>
      </c>
      <c r="G1344">
        <v>2011</v>
      </c>
      <c r="I1344" t="str">
        <f>VLOOKUP(G1344,Kostenstellen!$A$1:$C$17,2,0)</f>
        <v>Elsner</v>
      </c>
    </row>
    <row r="1345" spans="1:9" x14ac:dyDescent="0.2">
      <c r="A1345">
        <v>6530</v>
      </c>
      <c r="B1345" s="7">
        <v>45906</v>
      </c>
      <c r="C1345" t="s">
        <v>1135</v>
      </c>
      <c r="D1345" t="s">
        <v>1136</v>
      </c>
      <c r="E1345">
        <v>600</v>
      </c>
      <c r="G1345">
        <v>2001</v>
      </c>
      <c r="I1345" t="str">
        <f>VLOOKUP(G1345,Kostenstellen!$A$1:$C$17,2,0)</f>
        <v>Koch Martin</v>
      </c>
    </row>
    <row r="1346" spans="1:9" x14ac:dyDescent="0.2">
      <c r="A1346">
        <v>6530</v>
      </c>
      <c r="B1346" s="7">
        <v>45915</v>
      </c>
      <c r="C1346" t="s">
        <v>1137</v>
      </c>
      <c r="D1346" t="s">
        <v>1138</v>
      </c>
      <c r="E1346">
        <v>10.98</v>
      </c>
      <c r="G1346">
        <v>2001</v>
      </c>
      <c r="I1346" t="str">
        <f>VLOOKUP(G1346,Kostenstellen!$A$1:$C$17,2,0)</f>
        <v>Koch Martin</v>
      </c>
    </row>
    <row r="1347" spans="1:9" x14ac:dyDescent="0.2">
      <c r="A1347">
        <v>6530</v>
      </c>
      <c r="B1347" s="7">
        <v>45915</v>
      </c>
      <c r="C1347" t="s">
        <v>1137</v>
      </c>
      <c r="D1347" t="s">
        <v>1138</v>
      </c>
      <c r="E1347">
        <v>56.98</v>
      </c>
      <c r="G1347">
        <v>2001</v>
      </c>
      <c r="I1347" t="str">
        <f>VLOOKUP(G1347,Kostenstellen!$A$1:$C$17,2,0)</f>
        <v>Koch Martin</v>
      </c>
    </row>
    <row r="1348" spans="1:9" x14ac:dyDescent="0.2">
      <c r="A1348">
        <v>6530</v>
      </c>
      <c r="B1348" s="7">
        <v>45925</v>
      </c>
      <c r="C1348" t="s">
        <v>1098</v>
      </c>
      <c r="D1348" t="s">
        <v>1139</v>
      </c>
      <c r="E1348">
        <v>574.03</v>
      </c>
      <c r="G1348">
        <v>2011</v>
      </c>
      <c r="I1348" t="str">
        <f>VLOOKUP(G1348,Kostenstellen!$A$1:$C$17,2,0)</f>
        <v>Elsner</v>
      </c>
    </row>
    <row r="1349" spans="1:9" x14ac:dyDescent="0.2">
      <c r="A1349">
        <v>6530</v>
      </c>
      <c r="B1349" s="7">
        <v>45930</v>
      </c>
      <c r="C1349" t="s">
        <v>1137</v>
      </c>
      <c r="D1349" t="s">
        <v>1140</v>
      </c>
      <c r="E1349">
        <v>51.97</v>
      </c>
      <c r="G1349">
        <v>2001</v>
      </c>
      <c r="I1349" t="str">
        <f>VLOOKUP(G1349,Kostenstellen!$A$1:$C$17,2,0)</f>
        <v>Koch Martin</v>
      </c>
    </row>
    <row r="1350" spans="1:9" x14ac:dyDescent="0.2">
      <c r="A1350">
        <v>6530</v>
      </c>
      <c r="B1350" s="7">
        <v>45930</v>
      </c>
      <c r="C1350" t="s">
        <v>1141</v>
      </c>
      <c r="D1350" t="s">
        <v>1140</v>
      </c>
      <c r="E1350">
        <v>452.97</v>
      </c>
      <c r="G1350">
        <v>2011</v>
      </c>
      <c r="I1350" t="str">
        <f>VLOOKUP(G1350,Kostenstellen!$A$1:$C$17,2,0)</f>
        <v>Elsner</v>
      </c>
    </row>
    <row r="1351" spans="1:9" x14ac:dyDescent="0.2">
      <c r="A1351">
        <v>6530</v>
      </c>
      <c r="B1351" s="7">
        <v>45936</v>
      </c>
      <c r="C1351" t="s">
        <v>1142</v>
      </c>
      <c r="D1351" t="s">
        <v>1143</v>
      </c>
      <c r="E1351">
        <v>600</v>
      </c>
      <c r="G1351">
        <v>2001</v>
      </c>
      <c r="I1351" t="str">
        <f>VLOOKUP(G1351,Kostenstellen!$A$1:$C$17,2,0)</f>
        <v>Koch Martin</v>
      </c>
    </row>
    <row r="1352" spans="1:9" x14ac:dyDescent="0.2">
      <c r="A1352">
        <v>6530</v>
      </c>
      <c r="B1352" s="7">
        <v>45945</v>
      </c>
      <c r="C1352" t="s">
        <v>1144</v>
      </c>
      <c r="D1352" t="s">
        <v>1145</v>
      </c>
      <c r="E1352">
        <v>10.98</v>
      </c>
      <c r="G1352">
        <v>2011</v>
      </c>
      <c r="I1352" t="str">
        <f>VLOOKUP(G1352,Kostenstellen!$A$1:$C$17,2,0)</f>
        <v>Elsner</v>
      </c>
    </row>
    <row r="1353" spans="1:9" x14ac:dyDescent="0.2">
      <c r="A1353">
        <v>6530</v>
      </c>
      <c r="B1353" s="7">
        <v>45945</v>
      </c>
      <c r="C1353" t="s">
        <v>1144</v>
      </c>
      <c r="D1353" t="s">
        <v>1145</v>
      </c>
      <c r="E1353">
        <v>181.1</v>
      </c>
      <c r="G1353">
        <v>2011</v>
      </c>
      <c r="I1353" t="str">
        <f>VLOOKUP(G1353,Kostenstellen!$A$1:$C$17,2,0)</f>
        <v>Elsner</v>
      </c>
    </row>
    <row r="1354" spans="1:9" x14ac:dyDescent="0.2">
      <c r="A1354">
        <v>6530</v>
      </c>
      <c r="B1354" s="7">
        <v>45945</v>
      </c>
      <c r="C1354" t="s">
        <v>1146</v>
      </c>
      <c r="D1354" t="s">
        <v>1145</v>
      </c>
      <c r="E1354">
        <v>60.06</v>
      </c>
      <c r="G1354">
        <v>2001</v>
      </c>
      <c r="I1354" t="str">
        <f>VLOOKUP(G1354,Kostenstellen!$A$1:$C$17,2,0)</f>
        <v>Koch Martin</v>
      </c>
    </row>
    <row r="1355" spans="1:9" x14ac:dyDescent="0.2">
      <c r="A1355">
        <v>6530</v>
      </c>
      <c r="B1355" s="7">
        <v>45957</v>
      </c>
      <c r="C1355" t="s">
        <v>1098</v>
      </c>
      <c r="D1355" t="s">
        <v>1147</v>
      </c>
      <c r="E1355">
        <v>574.03</v>
      </c>
      <c r="G1355">
        <v>2011</v>
      </c>
      <c r="H1355" s="7">
        <v>45954</v>
      </c>
      <c r="I1355" t="str">
        <f>VLOOKUP(G1355,Kostenstellen!$A$1:$C$17,2,0)</f>
        <v>Elsner</v>
      </c>
    </row>
    <row r="1356" spans="1:9" x14ac:dyDescent="0.2">
      <c r="A1356">
        <v>6530</v>
      </c>
      <c r="B1356" s="7">
        <v>45961</v>
      </c>
      <c r="C1356" t="s">
        <v>1146</v>
      </c>
      <c r="D1356" t="s">
        <v>1148</v>
      </c>
      <c r="E1356">
        <v>50.08</v>
      </c>
      <c r="G1356">
        <v>2001</v>
      </c>
      <c r="I1356" t="str">
        <f>VLOOKUP(G1356,Kostenstellen!$A$1:$C$17,2,0)</f>
        <v>Koch Martin</v>
      </c>
    </row>
    <row r="1357" spans="1:9" x14ac:dyDescent="0.2">
      <c r="A1357">
        <v>6530</v>
      </c>
      <c r="B1357" s="7">
        <v>45961</v>
      </c>
      <c r="C1357" t="s">
        <v>1144</v>
      </c>
      <c r="D1357" t="s">
        <v>1148</v>
      </c>
      <c r="E1357">
        <v>183.04</v>
      </c>
      <c r="G1357">
        <v>2011</v>
      </c>
      <c r="I1357" t="str">
        <f>VLOOKUP(G1357,Kostenstellen!$A$1:$C$17,2,0)</f>
        <v>Elsner</v>
      </c>
    </row>
    <row r="1358" spans="1:9" x14ac:dyDescent="0.2">
      <c r="A1358">
        <v>6530</v>
      </c>
      <c r="B1358" s="7">
        <v>45967</v>
      </c>
      <c r="C1358" t="s">
        <v>1149</v>
      </c>
      <c r="D1358" t="s">
        <v>1150</v>
      </c>
      <c r="E1358">
        <v>600</v>
      </c>
      <c r="G1358">
        <v>2001</v>
      </c>
      <c r="I1358" t="str">
        <f>VLOOKUP(G1358,Kostenstellen!$A$1:$C$17,2,0)</f>
        <v>Koch Martin</v>
      </c>
    </row>
    <row r="1359" spans="1:9" x14ac:dyDescent="0.2">
      <c r="A1359">
        <v>6530</v>
      </c>
      <c r="B1359" s="7">
        <v>45976</v>
      </c>
      <c r="C1359" t="s">
        <v>1151</v>
      </c>
      <c r="D1359" t="s">
        <v>1152</v>
      </c>
      <c r="E1359">
        <v>10.98</v>
      </c>
      <c r="G1359">
        <v>2011</v>
      </c>
      <c r="I1359" t="str">
        <f>VLOOKUP(G1359,Kostenstellen!$A$1:$C$17,2,0)</f>
        <v>Elsner</v>
      </c>
    </row>
    <row r="1360" spans="1:9" x14ac:dyDescent="0.2">
      <c r="A1360">
        <v>6530</v>
      </c>
      <c r="B1360" s="7">
        <v>45976</v>
      </c>
      <c r="C1360" t="s">
        <v>1151</v>
      </c>
      <c r="D1360" t="s">
        <v>1152</v>
      </c>
      <c r="E1360">
        <v>148.12</v>
      </c>
      <c r="G1360">
        <v>2011</v>
      </c>
      <c r="I1360" t="str">
        <f>VLOOKUP(G1360,Kostenstellen!$A$1:$C$17,2,0)</f>
        <v>Elsner</v>
      </c>
    </row>
    <row r="1361" spans="1:9" x14ac:dyDescent="0.2">
      <c r="A1361">
        <v>6530</v>
      </c>
      <c r="B1361" s="7">
        <v>45976</v>
      </c>
      <c r="C1361" t="s">
        <v>1153</v>
      </c>
      <c r="D1361" t="s">
        <v>1152</v>
      </c>
      <c r="E1361">
        <v>52.7</v>
      </c>
      <c r="G1361">
        <v>2001</v>
      </c>
      <c r="I1361" t="str">
        <f>VLOOKUP(G1361,Kostenstellen!$A$1:$C$17,2,0)</f>
        <v>Koch Martin</v>
      </c>
    </row>
    <row r="1362" spans="1:9" x14ac:dyDescent="0.2">
      <c r="A1362">
        <v>6530</v>
      </c>
      <c r="B1362" s="7">
        <v>45986</v>
      </c>
      <c r="C1362" t="s">
        <v>1098</v>
      </c>
      <c r="D1362" t="s">
        <v>1154</v>
      </c>
      <c r="E1362">
        <v>574.03</v>
      </c>
      <c r="G1362">
        <v>2011</v>
      </c>
      <c r="H1362" s="7">
        <v>45985</v>
      </c>
      <c r="I1362" t="str">
        <f>VLOOKUP(G1362,Kostenstellen!$A$1:$C$17,2,0)</f>
        <v>Elsner</v>
      </c>
    </row>
    <row r="1363" spans="1:9" x14ac:dyDescent="0.2">
      <c r="A1363">
        <v>6530</v>
      </c>
      <c r="B1363" s="7">
        <v>45991</v>
      </c>
      <c r="C1363" t="s">
        <v>1151</v>
      </c>
      <c r="D1363" t="s">
        <v>1155</v>
      </c>
      <c r="E1363">
        <v>51.46</v>
      </c>
      <c r="G1363">
        <v>2011</v>
      </c>
      <c r="I1363" t="str">
        <f>VLOOKUP(G1363,Kostenstellen!$A$1:$C$17,2,0)</f>
        <v>Elsner</v>
      </c>
    </row>
    <row r="1364" spans="1:9" x14ac:dyDescent="0.2">
      <c r="A1364">
        <v>6530</v>
      </c>
      <c r="B1364" s="7">
        <v>45997</v>
      </c>
      <c r="C1364" t="s">
        <v>1156</v>
      </c>
      <c r="D1364" t="s">
        <v>1157</v>
      </c>
      <c r="E1364">
        <v>600</v>
      </c>
      <c r="G1364">
        <v>2001</v>
      </c>
      <c r="I1364" t="str">
        <f>VLOOKUP(G1364,Kostenstellen!$A$1:$C$17,2,0)</f>
        <v>Koch Martin</v>
      </c>
    </row>
    <row r="1365" spans="1:9" x14ac:dyDescent="0.2">
      <c r="A1365">
        <v>6530</v>
      </c>
      <c r="B1365" s="7">
        <v>46006</v>
      </c>
      <c r="C1365" t="s">
        <v>1158</v>
      </c>
      <c r="D1365" t="s">
        <v>1159</v>
      </c>
      <c r="E1365">
        <v>10.98</v>
      </c>
      <c r="G1365">
        <v>2011</v>
      </c>
      <c r="I1365" t="str">
        <f>VLOOKUP(G1365,Kostenstellen!$A$1:$C$17,2,0)</f>
        <v>Elsner</v>
      </c>
    </row>
    <row r="1366" spans="1:9" x14ac:dyDescent="0.2">
      <c r="A1366">
        <v>6530</v>
      </c>
      <c r="B1366" s="7">
        <v>46006</v>
      </c>
      <c r="C1366" t="s">
        <v>1158</v>
      </c>
      <c r="D1366" t="s">
        <v>1159</v>
      </c>
      <c r="E1366">
        <v>63.66</v>
      </c>
      <c r="G1366">
        <v>2011</v>
      </c>
      <c r="I1366" t="str">
        <f>VLOOKUP(G1366,Kostenstellen!$A$1:$C$17,2,0)</f>
        <v>Elsner</v>
      </c>
    </row>
    <row r="1367" spans="1:9" x14ac:dyDescent="0.2">
      <c r="A1367">
        <v>6530</v>
      </c>
      <c r="B1367" s="7">
        <v>46006</v>
      </c>
      <c r="C1367" t="s">
        <v>1160</v>
      </c>
      <c r="D1367" t="s">
        <v>1159</v>
      </c>
      <c r="E1367">
        <v>51.92</v>
      </c>
      <c r="G1367">
        <v>2001</v>
      </c>
      <c r="I1367" t="str">
        <f>VLOOKUP(G1367,Kostenstellen!$A$1:$C$17,2,0)</f>
        <v>Koch Martin</v>
      </c>
    </row>
    <row r="1368" spans="1:9" x14ac:dyDescent="0.2">
      <c r="A1368">
        <v>6530</v>
      </c>
      <c r="B1368" s="7">
        <v>46020</v>
      </c>
      <c r="C1368" t="s">
        <v>1098</v>
      </c>
      <c r="D1368" t="s">
        <v>1161</v>
      </c>
      <c r="E1368">
        <v>574.03</v>
      </c>
      <c r="G1368">
        <v>2011</v>
      </c>
      <c r="H1368" s="7">
        <v>46015</v>
      </c>
      <c r="I1368" t="str">
        <f>VLOOKUP(G1368,Kostenstellen!$A$1:$C$17,2,0)</f>
        <v>Elsner</v>
      </c>
    </row>
    <row r="1369" spans="1:9" x14ac:dyDescent="0.2">
      <c r="A1369">
        <v>6530</v>
      </c>
      <c r="B1369" s="7">
        <v>46022</v>
      </c>
      <c r="C1369" t="s">
        <v>1160</v>
      </c>
      <c r="D1369" t="s">
        <v>1162</v>
      </c>
      <c r="E1369">
        <v>60.82</v>
      </c>
      <c r="G1369">
        <v>2001</v>
      </c>
      <c r="I1369" t="str">
        <f>VLOOKUP(G1369,Kostenstellen!$A$1:$C$17,2,0)</f>
        <v>Koch Martin</v>
      </c>
    </row>
    <row r="1370" spans="1:9" x14ac:dyDescent="0.2">
      <c r="A1370">
        <v>6530</v>
      </c>
      <c r="B1370" s="7">
        <v>46022</v>
      </c>
      <c r="C1370" t="s">
        <v>1158</v>
      </c>
      <c r="D1370" t="s">
        <v>1162</v>
      </c>
      <c r="E1370">
        <v>54.42</v>
      </c>
      <c r="G1370">
        <v>2011</v>
      </c>
      <c r="I1370" t="str">
        <f>VLOOKUP(G1370,Kostenstellen!$A$1:$C$17,2,0)</f>
        <v>Elsner</v>
      </c>
    </row>
    <row r="1371" spans="1:9" x14ac:dyDescent="0.2">
      <c r="A1371">
        <v>6601</v>
      </c>
      <c r="B1371" s="7">
        <v>45783</v>
      </c>
      <c r="C1371" t="s">
        <v>1163</v>
      </c>
      <c r="D1371">
        <v>26370</v>
      </c>
      <c r="E1371">
        <v>211.74</v>
      </c>
      <c r="G1371">
        <v>235</v>
      </c>
      <c r="I1371" t="str">
        <f>VLOOKUP(G1371,Kostenstellen!$A$1:$C$17,2,0)</f>
        <v>Marketing</v>
      </c>
    </row>
    <row r="1372" spans="1:9" x14ac:dyDescent="0.2">
      <c r="A1372">
        <v>6601</v>
      </c>
      <c r="B1372" s="7">
        <v>45797</v>
      </c>
      <c r="C1372" t="s">
        <v>1164</v>
      </c>
      <c r="D1372" t="s">
        <v>1165</v>
      </c>
      <c r="E1372">
        <v>17.670000000000002</v>
      </c>
      <c r="G1372">
        <v>235</v>
      </c>
      <c r="I1372" t="str">
        <f>VLOOKUP(G1372,Kostenstellen!$A$1:$C$17,2,0)</f>
        <v>Marketing</v>
      </c>
    </row>
    <row r="1373" spans="1:9" x14ac:dyDescent="0.2">
      <c r="A1373">
        <v>6601</v>
      </c>
      <c r="B1373" s="7">
        <v>45805</v>
      </c>
      <c r="C1373" t="s">
        <v>1164</v>
      </c>
      <c r="D1373" t="s">
        <v>1166</v>
      </c>
      <c r="E1373">
        <v>22.23</v>
      </c>
      <c r="G1373">
        <v>235</v>
      </c>
      <c r="I1373" t="str">
        <f>VLOOKUP(G1373,Kostenstellen!$A$1:$C$17,2,0)</f>
        <v>Marketing</v>
      </c>
    </row>
    <row r="1374" spans="1:9" x14ac:dyDescent="0.2">
      <c r="A1374">
        <v>6601</v>
      </c>
      <c r="B1374" s="7">
        <v>45841</v>
      </c>
      <c r="C1374" t="s">
        <v>1167</v>
      </c>
      <c r="D1374" t="s">
        <v>1168</v>
      </c>
      <c r="E1374">
        <v>0.87</v>
      </c>
      <c r="G1374">
        <v>235</v>
      </c>
      <c r="I1374" t="str">
        <f>VLOOKUP(G1374,Kostenstellen!$A$1:$C$17,2,0)</f>
        <v>Marketing</v>
      </c>
    </row>
    <row r="1375" spans="1:9" x14ac:dyDescent="0.2">
      <c r="A1375">
        <v>6601</v>
      </c>
      <c r="B1375" s="7">
        <v>45869</v>
      </c>
      <c r="C1375" t="s">
        <v>1169</v>
      </c>
      <c r="D1375" t="s">
        <v>1170</v>
      </c>
      <c r="E1375">
        <v>10.08</v>
      </c>
      <c r="G1375">
        <v>235</v>
      </c>
      <c r="I1375" t="str">
        <f>VLOOKUP(G1375,Kostenstellen!$A$1:$C$17,2,0)</f>
        <v>Marketing</v>
      </c>
    </row>
    <row r="1376" spans="1:9" x14ac:dyDescent="0.2">
      <c r="A1376">
        <v>6601</v>
      </c>
      <c r="B1376" s="7">
        <v>45925</v>
      </c>
      <c r="C1376" t="s">
        <v>1171</v>
      </c>
      <c r="D1376" t="s">
        <v>1172</v>
      </c>
      <c r="E1376" s="6">
        <v>1027.2</v>
      </c>
      <c r="G1376">
        <v>235</v>
      </c>
      <c r="I1376" t="str">
        <f>VLOOKUP(G1376,Kostenstellen!$A$1:$C$17,2,0)</f>
        <v>Marketing</v>
      </c>
    </row>
    <row r="1377" spans="1:9" x14ac:dyDescent="0.2">
      <c r="A1377">
        <v>6603</v>
      </c>
      <c r="B1377" s="7">
        <v>45726</v>
      </c>
      <c r="C1377" t="s">
        <v>1173</v>
      </c>
      <c r="D1377" t="s">
        <v>1174</v>
      </c>
      <c r="E1377">
        <v>500</v>
      </c>
      <c r="G1377">
        <v>235</v>
      </c>
      <c r="I1377" t="str">
        <f>VLOOKUP(G1377,Kostenstellen!$A$1:$C$17,2,0)</f>
        <v>Marketing</v>
      </c>
    </row>
    <row r="1378" spans="1:9" x14ac:dyDescent="0.2">
      <c r="A1378">
        <v>6603</v>
      </c>
      <c r="B1378" s="7">
        <v>45728</v>
      </c>
      <c r="C1378" t="s">
        <v>1173</v>
      </c>
      <c r="D1378" t="s">
        <v>1174</v>
      </c>
      <c r="E1378">
        <v>500</v>
      </c>
      <c r="G1378">
        <v>235</v>
      </c>
      <c r="I1378" t="str">
        <f>VLOOKUP(G1378,Kostenstellen!$A$1:$C$17,2,0)</f>
        <v>Marketing</v>
      </c>
    </row>
    <row r="1379" spans="1:9" x14ac:dyDescent="0.2">
      <c r="A1379">
        <v>6603</v>
      </c>
      <c r="B1379" s="7">
        <v>45729</v>
      </c>
      <c r="C1379" t="s">
        <v>1173</v>
      </c>
      <c r="D1379" t="s">
        <v>1174</v>
      </c>
      <c r="E1379">
        <v>500</v>
      </c>
      <c r="G1379">
        <v>235</v>
      </c>
      <c r="I1379" t="str">
        <f>VLOOKUP(G1379,Kostenstellen!$A$1:$C$17,2,0)</f>
        <v>Marketing</v>
      </c>
    </row>
    <row r="1380" spans="1:9" x14ac:dyDescent="0.2">
      <c r="A1380">
        <v>6603</v>
      </c>
      <c r="B1380" s="7">
        <v>45733</v>
      </c>
      <c r="C1380" t="s">
        <v>1173</v>
      </c>
      <c r="D1380" t="s">
        <v>1175</v>
      </c>
      <c r="E1380">
        <v>500</v>
      </c>
      <c r="G1380">
        <v>235</v>
      </c>
      <c r="I1380" t="str">
        <f>VLOOKUP(G1380,Kostenstellen!$A$1:$C$17,2,0)</f>
        <v>Marketing</v>
      </c>
    </row>
    <row r="1381" spans="1:9" x14ac:dyDescent="0.2">
      <c r="A1381">
        <v>6603</v>
      </c>
      <c r="B1381" s="7">
        <v>45737</v>
      </c>
      <c r="C1381" t="s">
        <v>1173</v>
      </c>
      <c r="D1381" t="s">
        <v>1174</v>
      </c>
      <c r="E1381">
        <v>500</v>
      </c>
      <c r="G1381">
        <v>235</v>
      </c>
      <c r="I1381" t="str">
        <f>VLOOKUP(G1381,Kostenstellen!$A$1:$C$17,2,0)</f>
        <v>Marketing</v>
      </c>
    </row>
    <row r="1382" spans="1:9" x14ac:dyDescent="0.2">
      <c r="A1382">
        <v>6603</v>
      </c>
      <c r="B1382" s="7">
        <v>45740</v>
      </c>
      <c r="C1382" t="s">
        <v>1176</v>
      </c>
      <c r="D1382" t="s">
        <v>1177</v>
      </c>
      <c r="E1382">
        <v>500</v>
      </c>
      <c r="G1382">
        <v>235</v>
      </c>
      <c r="I1382" t="str">
        <f>VLOOKUP(G1382,Kostenstellen!$A$1:$C$17,2,0)</f>
        <v>Marketing</v>
      </c>
    </row>
    <row r="1383" spans="1:9" x14ac:dyDescent="0.2">
      <c r="A1383">
        <v>6603</v>
      </c>
      <c r="B1383" s="7">
        <v>45741</v>
      </c>
      <c r="C1383" t="s">
        <v>1173</v>
      </c>
      <c r="D1383" t="s">
        <v>1174</v>
      </c>
      <c r="E1383">
        <v>500</v>
      </c>
      <c r="G1383">
        <v>235</v>
      </c>
      <c r="I1383" t="str">
        <f>VLOOKUP(G1383,Kostenstellen!$A$1:$C$17,2,0)</f>
        <v>Marketing</v>
      </c>
    </row>
    <row r="1384" spans="1:9" x14ac:dyDescent="0.2">
      <c r="A1384">
        <v>6603</v>
      </c>
      <c r="B1384" s="7">
        <v>45742</v>
      </c>
      <c r="C1384" t="s">
        <v>1176</v>
      </c>
      <c r="D1384" t="s">
        <v>1174</v>
      </c>
      <c r="E1384">
        <v>500</v>
      </c>
      <c r="G1384">
        <v>235</v>
      </c>
      <c r="I1384" t="str">
        <f>VLOOKUP(G1384,Kostenstellen!$A$1:$C$17,2,0)</f>
        <v>Marketing</v>
      </c>
    </row>
    <row r="1385" spans="1:9" x14ac:dyDescent="0.2">
      <c r="A1385">
        <v>6603</v>
      </c>
      <c r="B1385" s="7">
        <v>45743</v>
      </c>
      <c r="C1385" t="s">
        <v>1173</v>
      </c>
      <c r="D1385" t="s">
        <v>1174</v>
      </c>
      <c r="E1385">
        <v>500</v>
      </c>
      <c r="G1385">
        <v>235</v>
      </c>
      <c r="I1385" t="str">
        <f>VLOOKUP(G1385,Kostenstellen!$A$1:$C$17,2,0)</f>
        <v>Marketing</v>
      </c>
    </row>
    <row r="1386" spans="1:9" x14ac:dyDescent="0.2">
      <c r="A1386">
        <v>6603</v>
      </c>
      <c r="B1386" s="7">
        <v>45747</v>
      </c>
      <c r="C1386" t="s">
        <v>1173</v>
      </c>
      <c r="D1386" t="s">
        <v>1178</v>
      </c>
      <c r="E1386">
        <v>500</v>
      </c>
      <c r="G1386">
        <v>235</v>
      </c>
      <c r="I1386" t="str">
        <f>VLOOKUP(G1386,Kostenstellen!$A$1:$C$17,2,0)</f>
        <v>Marketing</v>
      </c>
    </row>
    <row r="1387" spans="1:9" x14ac:dyDescent="0.2">
      <c r="A1387">
        <v>6603</v>
      </c>
      <c r="B1387" s="7">
        <v>45749</v>
      </c>
      <c r="C1387" t="s">
        <v>1176</v>
      </c>
      <c r="D1387" t="s">
        <v>1179</v>
      </c>
      <c r="E1387">
        <v>500</v>
      </c>
      <c r="G1387">
        <v>235</v>
      </c>
      <c r="I1387" t="str">
        <f>VLOOKUP(G1387,Kostenstellen!$A$1:$C$17,2,0)</f>
        <v>Marketing</v>
      </c>
    </row>
    <row r="1388" spans="1:9" x14ac:dyDescent="0.2">
      <c r="A1388">
        <v>6603</v>
      </c>
      <c r="B1388" s="7">
        <v>45750</v>
      </c>
      <c r="C1388" t="s">
        <v>1173</v>
      </c>
      <c r="D1388" t="s">
        <v>1174</v>
      </c>
      <c r="E1388">
        <v>500</v>
      </c>
      <c r="G1388">
        <v>235</v>
      </c>
      <c r="I1388" t="str">
        <f>VLOOKUP(G1388,Kostenstellen!$A$1:$C$17,2,0)</f>
        <v>Marketing</v>
      </c>
    </row>
    <row r="1389" spans="1:9" x14ac:dyDescent="0.2">
      <c r="A1389">
        <v>6603</v>
      </c>
      <c r="B1389" s="7">
        <v>45754</v>
      </c>
      <c r="C1389" t="s">
        <v>1173</v>
      </c>
      <c r="D1389" t="s">
        <v>1180</v>
      </c>
      <c r="E1389">
        <v>500</v>
      </c>
      <c r="G1389">
        <v>235</v>
      </c>
      <c r="I1389" t="str">
        <f>VLOOKUP(G1389,Kostenstellen!$A$1:$C$17,2,0)</f>
        <v>Marketing</v>
      </c>
    </row>
    <row r="1390" spans="1:9" x14ac:dyDescent="0.2">
      <c r="A1390">
        <v>6603</v>
      </c>
      <c r="B1390" s="7">
        <v>45779</v>
      </c>
      <c r="C1390" t="s">
        <v>1176</v>
      </c>
      <c r="D1390" t="s">
        <v>1181</v>
      </c>
      <c r="E1390">
        <v>433.18</v>
      </c>
      <c r="G1390">
        <v>235</v>
      </c>
      <c r="I1390" t="str">
        <f>VLOOKUP(G1390,Kostenstellen!$A$1:$C$17,2,0)</f>
        <v>Marketing</v>
      </c>
    </row>
    <row r="1391" spans="1:9" x14ac:dyDescent="0.2">
      <c r="A1391">
        <v>6605</v>
      </c>
      <c r="B1391" s="7">
        <v>45811</v>
      </c>
      <c r="C1391" t="s">
        <v>1182</v>
      </c>
      <c r="D1391" t="s">
        <v>1183</v>
      </c>
      <c r="E1391">
        <v>966.6</v>
      </c>
      <c r="G1391">
        <v>2011</v>
      </c>
      <c r="I1391" t="str">
        <f>VLOOKUP(G1391,Kostenstellen!$A$1:$C$17,2,0)</f>
        <v>Elsner</v>
      </c>
    </row>
    <row r="1392" spans="1:9" x14ac:dyDescent="0.2">
      <c r="A1392">
        <v>6605</v>
      </c>
      <c r="B1392" s="7">
        <v>45825</v>
      </c>
      <c r="C1392" t="s">
        <v>1184</v>
      </c>
      <c r="D1392" t="s">
        <v>1185</v>
      </c>
      <c r="E1392" s="6">
        <v>1595</v>
      </c>
      <c r="G1392">
        <v>230</v>
      </c>
      <c r="I1392" t="str">
        <f>VLOOKUP(G1392,Kostenstellen!$A$1:$C$17,2,0)</f>
        <v>Sales</v>
      </c>
    </row>
    <row r="1393" spans="1:9" x14ac:dyDescent="0.2">
      <c r="A1393">
        <v>6610</v>
      </c>
      <c r="B1393" s="7">
        <v>45727</v>
      </c>
      <c r="C1393" t="s">
        <v>1186</v>
      </c>
      <c r="D1393" t="s">
        <v>1187</v>
      </c>
      <c r="E1393" s="6">
        <v>4563.6499999999996</v>
      </c>
      <c r="G1393">
        <v>2017</v>
      </c>
      <c r="H1393" s="7">
        <v>45716</v>
      </c>
      <c r="I1393" t="str">
        <f>VLOOKUP(G1393,Kostenstellen!$A$1:$C$17,2,0)</f>
        <v>Hartmann</v>
      </c>
    </row>
    <row r="1394" spans="1:9" x14ac:dyDescent="0.2">
      <c r="A1394">
        <v>6610</v>
      </c>
      <c r="B1394" s="7">
        <v>45754</v>
      </c>
      <c r="C1394" t="s">
        <v>1188</v>
      </c>
      <c r="D1394">
        <v>340312</v>
      </c>
      <c r="E1394">
        <v>45.95</v>
      </c>
      <c r="G1394">
        <v>202</v>
      </c>
      <c r="I1394" t="str">
        <f>VLOOKUP(G1394,Kostenstellen!$A$1:$C$17,2,0)</f>
        <v>Recruiting</v>
      </c>
    </row>
    <row r="1395" spans="1:9" x14ac:dyDescent="0.2">
      <c r="A1395">
        <v>6610</v>
      </c>
      <c r="B1395" s="7">
        <v>45776</v>
      </c>
      <c r="C1395" t="s">
        <v>1189</v>
      </c>
      <c r="D1395">
        <v>343788</v>
      </c>
      <c r="E1395">
        <v>46.99</v>
      </c>
      <c r="G1395">
        <v>202</v>
      </c>
      <c r="I1395" t="str">
        <f>VLOOKUP(G1395,Kostenstellen!$A$1:$C$17,2,0)</f>
        <v>Recruiting</v>
      </c>
    </row>
    <row r="1396" spans="1:9" x14ac:dyDescent="0.2">
      <c r="A1396">
        <v>6610</v>
      </c>
      <c r="B1396" s="7">
        <v>45853</v>
      </c>
      <c r="C1396" t="s">
        <v>1190</v>
      </c>
      <c r="D1396" t="s">
        <v>1191</v>
      </c>
      <c r="E1396">
        <v>40</v>
      </c>
      <c r="G1396">
        <v>202</v>
      </c>
      <c r="I1396" t="str">
        <f>VLOOKUP(G1396,Kostenstellen!$A$1:$C$17,2,0)</f>
        <v>Recruiting</v>
      </c>
    </row>
    <row r="1397" spans="1:9" x14ac:dyDescent="0.2">
      <c r="A1397">
        <v>6610</v>
      </c>
      <c r="B1397" s="7">
        <v>45887</v>
      </c>
      <c r="C1397" t="s">
        <v>1192</v>
      </c>
      <c r="D1397" t="s">
        <v>1193</v>
      </c>
      <c r="E1397">
        <v>43.98</v>
      </c>
      <c r="G1397">
        <v>202</v>
      </c>
      <c r="I1397" t="str">
        <f>VLOOKUP(G1397,Kostenstellen!$A$1:$C$17,2,0)</f>
        <v>Recruiting</v>
      </c>
    </row>
    <row r="1398" spans="1:9" x14ac:dyDescent="0.2">
      <c r="A1398">
        <v>6610</v>
      </c>
      <c r="B1398" s="7">
        <v>45910</v>
      </c>
      <c r="C1398" t="s">
        <v>1194</v>
      </c>
      <c r="D1398">
        <v>390468646</v>
      </c>
      <c r="E1398">
        <v>23.79</v>
      </c>
      <c r="G1398">
        <v>202</v>
      </c>
      <c r="I1398" t="str">
        <f>VLOOKUP(G1398,Kostenstellen!$A$1:$C$17,2,0)</f>
        <v>Recruiting</v>
      </c>
    </row>
    <row r="1399" spans="1:9" x14ac:dyDescent="0.2">
      <c r="A1399">
        <v>6610</v>
      </c>
      <c r="B1399" s="7">
        <v>45938</v>
      </c>
      <c r="C1399" t="s">
        <v>1195</v>
      </c>
      <c r="D1399" t="s">
        <v>1196</v>
      </c>
      <c r="E1399">
        <v>36.03</v>
      </c>
      <c r="G1399">
        <v>202</v>
      </c>
      <c r="I1399" t="str">
        <f>VLOOKUP(G1399,Kostenstellen!$A$1:$C$17,2,0)</f>
        <v>Recruiting</v>
      </c>
    </row>
    <row r="1400" spans="1:9" x14ac:dyDescent="0.2">
      <c r="A1400">
        <v>6610</v>
      </c>
      <c r="B1400" s="7">
        <v>45971</v>
      </c>
      <c r="C1400" t="s">
        <v>1197</v>
      </c>
      <c r="D1400">
        <v>531151743488</v>
      </c>
      <c r="E1400">
        <v>34.51</v>
      </c>
      <c r="G1400">
        <v>202</v>
      </c>
      <c r="I1400" t="str">
        <f>VLOOKUP(G1400,Kostenstellen!$A$1:$C$17,2,0)</f>
        <v>Recruiting</v>
      </c>
    </row>
    <row r="1401" spans="1:9" x14ac:dyDescent="0.2">
      <c r="A1401">
        <v>6610</v>
      </c>
      <c r="B1401" s="7">
        <v>46014</v>
      </c>
      <c r="C1401" t="s">
        <v>1198</v>
      </c>
      <c r="D1401" t="s">
        <v>1199</v>
      </c>
      <c r="E1401">
        <v>120</v>
      </c>
      <c r="G1401">
        <v>202</v>
      </c>
      <c r="H1401" s="7">
        <v>46014</v>
      </c>
      <c r="I1401" t="str">
        <f>VLOOKUP(G1401,Kostenstellen!$A$1:$C$17,2,0)</f>
        <v>Recruiting</v>
      </c>
    </row>
    <row r="1402" spans="1:9" x14ac:dyDescent="0.2">
      <c r="A1402">
        <v>6621</v>
      </c>
      <c r="B1402" s="7">
        <v>45887</v>
      </c>
      <c r="C1402" t="s">
        <v>1192</v>
      </c>
      <c r="D1402" t="s">
        <v>1193</v>
      </c>
      <c r="E1402">
        <v>43.98</v>
      </c>
      <c r="G1402">
        <v>202</v>
      </c>
      <c r="I1402" t="str">
        <f>VLOOKUP(G1402,Kostenstellen!$A$1:$C$17,2,0)</f>
        <v>Recruiting</v>
      </c>
    </row>
    <row r="1403" spans="1:9" x14ac:dyDescent="0.2">
      <c r="A1403">
        <v>6621</v>
      </c>
      <c r="B1403" s="7">
        <v>45887</v>
      </c>
      <c r="C1403" t="s">
        <v>1192</v>
      </c>
      <c r="D1403" t="s">
        <v>1193</v>
      </c>
      <c r="E1403">
        <v>-43.98</v>
      </c>
      <c r="G1403">
        <v>202</v>
      </c>
      <c r="I1403" t="str">
        <f>VLOOKUP(G1403,Kostenstellen!$A$1:$C$17,2,0)</f>
        <v>Recruiting</v>
      </c>
    </row>
    <row r="1404" spans="1:9" x14ac:dyDescent="0.2">
      <c r="A1404">
        <v>6621</v>
      </c>
      <c r="B1404" s="7">
        <v>45910</v>
      </c>
      <c r="C1404" t="s">
        <v>1194</v>
      </c>
      <c r="D1404">
        <v>390468646</v>
      </c>
      <c r="E1404">
        <v>23.79</v>
      </c>
      <c r="G1404">
        <v>202</v>
      </c>
      <c r="I1404" t="str">
        <f>VLOOKUP(G1404,Kostenstellen!$A$1:$C$17,2,0)</f>
        <v>Recruiting</v>
      </c>
    </row>
    <row r="1405" spans="1:9" x14ac:dyDescent="0.2">
      <c r="A1405">
        <v>6621</v>
      </c>
      <c r="B1405" s="7">
        <v>45910</v>
      </c>
      <c r="C1405" t="s">
        <v>1194</v>
      </c>
      <c r="D1405">
        <v>390468646</v>
      </c>
      <c r="E1405">
        <v>-23.79</v>
      </c>
      <c r="G1405">
        <v>202</v>
      </c>
      <c r="I1405" t="str">
        <f>VLOOKUP(G1405,Kostenstellen!$A$1:$C$17,2,0)</f>
        <v>Recruiting</v>
      </c>
    </row>
    <row r="1406" spans="1:9" x14ac:dyDescent="0.2">
      <c r="A1406">
        <v>6621</v>
      </c>
      <c r="B1406" s="7">
        <v>46007</v>
      </c>
      <c r="C1406" t="s">
        <v>1200</v>
      </c>
      <c r="D1406" t="s">
        <v>1201</v>
      </c>
      <c r="E1406">
        <v>19</v>
      </c>
      <c r="G1406">
        <v>202</v>
      </c>
      <c r="H1406" s="7">
        <v>46006</v>
      </c>
      <c r="I1406" t="str">
        <f>VLOOKUP(G1406,Kostenstellen!$A$1:$C$17,2,0)</f>
        <v>Recruiting</v>
      </c>
    </row>
    <row r="1407" spans="1:9" x14ac:dyDescent="0.2">
      <c r="A1407">
        <v>6621</v>
      </c>
      <c r="B1407" s="7">
        <v>46007</v>
      </c>
      <c r="C1407" t="s">
        <v>1200</v>
      </c>
      <c r="D1407" t="s">
        <v>1202</v>
      </c>
      <c r="E1407">
        <v>19</v>
      </c>
      <c r="G1407">
        <v>202</v>
      </c>
      <c r="H1407" s="7">
        <v>46006</v>
      </c>
      <c r="I1407" t="str">
        <f>VLOOKUP(G1407,Kostenstellen!$A$1:$C$17,2,0)</f>
        <v>Recruiting</v>
      </c>
    </row>
    <row r="1408" spans="1:9" x14ac:dyDescent="0.2">
      <c r="A1408">
        <v>6621</v>
      </c>
      <c r="B1408" s="7">
        <v>46013</v>
      </c>
      <c r="C1408" t="s">
        <v>1203</v>
      </c>
      <c r="D1408">
        <v>555</v>
      </c>
      <c r="E1408">
        <v>11.05</v>
      </c>
      <c r="G1408">
        <v>202</v>
      </c>
      <c r="H1408" s="7">
        <v>46010</v>
      </c>
      <c r="I1408" t="str">
        <f>VLOOKUP(G1408,Kostenstellen!$A$1:$C$17,2,0)</f>
        <v>Recruiting</v>
      </c>
    </row>
    <row r="1409" spans="1:9" x14ac:dyDescent="0.2">
      <c r="A1409">
        <v>6621</v>
      </c>
      <c r="B1409" s="7">
        <v>46013</v>
      </c>
      <c r="C1409" t="s">
        <v>1203</v>
      </c>
      <c r="D1409">
        <v>137373</v>
      </c>
      <c r="E1409">
        <v>15.91</v>
      </c>
      <c r="G1409">
        <v>202</v>
      </c>
      <c r="H1409" s="7">
        <v>46010</v>
      </c>
      <c r="I1409" t="str">
        <f>VLOOKUP(G1409,Kostenstellen!$A$1:$C$17,2,0)</f>
        <v>Recruiting</v>
      </c>
    </row>
    <row r="1410" spans="1:9" x14ac:dyDescent="0.2">
      <c r="A1410">
        <v>6621</v>
      </c>
      <c r="B1410" s="7">
        <v>46013</v>
      </c>
      <c r="C1410" t="s">
        <v>1204</v>
      </c>
      <c r="D1410">
        <v>101517353038</v>
      </c>
      <c r="E1410">
        <v>20.170000000000002</v>
      </c>
      <c r="G1410">
        <v>202</v>
      </c>
      <c r="I1410" t="str">
        <f>VLOOKUP(G1410,Kostenstellen!$A$1:$C$17,2,0)</f>
        <v>Recruiting</v>
      </c>
    </row>
    <row r="1411" spans="1:9" x14ac:dyDescent="0.2">
      <c r="A1411">
        <v>6621</v>
      </c>
      <c r="B1411" s="7">
        <v>46013</v>
      </c>
      <c r="C1411" t="s">
        <v>1203</v>
      </c>
      <c r="D1411">
        <v>1766146112005</v>
      </c>
      <c r="E1411">
        <v>22.98</v>
      </c>
      <c r="G1411">
        <v>202</v>
      </c>
      <c r="H1411" s="7">
        <v>46010</v>
      </c>
      <c r="I1411" t="str">
        <f>VLOOKUP(G1411,Kostenstellen!$A$1:$C$17,2,0)</f>
        <v>Recruiting</v>
      </c>
    </row>
    <row r="1412" spans="1:9" x14ac:dyDescent="0.2">
      <c r="A1412">
        <v>6621</v>
      </c>
      <c r="B1412" s="7">
        <v>46013</v>
      </c>
      <c r="C1412" t="s">
        <v>1205</v>
      </c>
      <c r="D1412" t="s">
        <v>1206</v>
      </c>
      <c r="E1412">
        <v>17.739999999999998</v>
      </c>
      <c r="G1412">
        <v>202</v>
      </c>
      <c r="H1412" s="7">
        <v>46010</v>
      </c>
      <c r="I1412" t="str">
        <f>VLOOKUP(G1412,Kostenstellen!$A$1:$C$17,2,0)</f>
        <v>Recruiting</v>
      </c>
    </row>
    <row r="1413" spans="1:9" x14ac:dyDescent="0.2">
      <c r="A1413">
        <v>6621</v>
      </c>
      <c r="B1413" s="7">
        <v>46013</v>
      </c>
      <c r="C1413" t="s">
        <v>1207</v>
      </c>
      <c r="D1413" t="s">
        <v>1208</v>
      </c>
      <c r="E1413">
        <v>18.37</v>
      </c>
      <c r="G1413">
        <v>202</v>
      </c>
      <c r="H1413" s="7">
        <v>46010</v>
      </c>
      <c r="I1413" t="str">
        <f>VLOOKUP(G1413,Kostenstellen!$A$1:$C$17,2,0)</f>
        <v>Recruiting</v>
      </c>
    </row>
    <row r="1414" spans="1:9" x14ac:dyDescent="0.2">
      <c r="A1414">
        <v>6621</v>
      </c>
      <c r="B1414" s="7">
        <v>46013</v>
      </c>
      <c r="C1414" t="s">
        <v>1209</v>
      </c>
      <c r="D1414" t="s">
        <v>1210</v>
      </c>
      <c r="E1414">
        <v>8.1</v>
      </c>
      <c r="G1414">
        <v>202</v>
      </c>
      <c r="H1414" s="7">
        <v>46010</v>
      </c>
      <c r="I1414" t="str">
        <f>VLOOKUP(G1414,Kostenstellen!$A$1:$C$17,2,0)</f>
        <v>Recruiting</v>
      </c>
    </row>
    <row r="1415" spans="1:9" x14ac:dyDescent="0.2">
      <c r="A1415">
        <v>6621</v>
      </c>
      <c r="B1415" s="7">
        <v>46014</v>
      </c>
      <c r="C1415" t="s">
        <v>1211</v>
      </c>
      <c r="D1415" t="s">
        <v>1212</v>
      </c>
      <c r="E1415">
        <v>80</v>
      </c>
      <c r="G1415">
        <v>202</v>
      </c>
      <c r="H1415" s="7">
        <v>46014</v>
      </c>
      <c r="I1415" t="str">
        <f>VLOOKUP(G1415,Kostenstellen!$A$1:$C$17,2,0)</f>
        <v>Recruiting</v>
      </c>
    </row>
    <row r="1416" spans="1:9" x14ac:dyDescent="0.2">
      <c r="A1416">
        <v>6621</v>
      </c>
      <c r="B1416" s="7">
        <v>46014</v>
      </c>
      <c r="C1416" t="s">
        <v>1213</v>
      </c>
      <c r="D1416" t="s">
        <v>1214</v>
      </c>
      <c r="E1416">
        <v>41.25</v>
      </c>
      <c r="G1416">
        <v>202</v>
      </c>
      <c r="H1416" s="7">
        <v>46014</v>
      </c>
      <c r="I1416" t="str">
        <f>VLOOKUP(G1416,Kostenstellen!$A$1:$C$17,2,0)</f>
        <v>Recruiting</v>
      </c>
    </row>
    <row r="1417" spans="1:9" x14ac:dyDescent="0.2">
      <c r="A1417">
        <v>6621</v>
      </c>
      <c r="B1417" s="7">
        <v>46014</v>
      </c>
      <c r="C1417" t="s">
        <v>1215</v>
      </c>
      <c r="D1417" t="s">
        <v>1216</v>
      </c>
      <c r="E1417">
        <v>206.26</v>
      </c>
      <c r="G1417">
        <v>202</v>
      </c>
      <c r="H1417" s="7">
        <v>46014</v>
      </c>
      <c r="I1417" t="str">
        <f>VLOOKUP(G1417,Kostenstellen!$A$1:$C$17,2,0)</f>
        <v>Recruiting</v>
      </c>
    </row>
    <row r="1418" spans="1:9" x14ac:dyDescent="0.2">
      <c r="A1418">
        <v>6621</v>
      </c>
      <c r="B1418" s="7">
        <v>46014</v>
      </c>
      <c r="C1418" t="s">
        <v>1217</v>
      </c>
      <c r="D1418" t="s">
        <v>1218</v>
      </c>
      <c r="E1418">
        <v>41.25</v>
      </c>
      <c r="G1418">
        <v>202</v>
      </c>
      <c r="H1418" s="7">
        <v>46014</v>
      </c>
      <c r="I1418" t="str">
        <f>VLOOKUP(G1418,Kostenstellen!$A$1:$C$17,2,0)</f>
        <v>Recruiting</v>
      </c>
    </row>
    <row r="1419" spans="1:9" x14ac:dyDescent="0.2">
      <c r="A1419">
        <v>6621</v>
      </c>
      <c r="B1419" s="7">
        <v>46015</v>
      </c>
      <c r="C1419" t="s">
        <v>1203</v>
      </c>
      <c r="D1419">
        <v>1766490481298</v>
      </c>
      <c r="E1419">
        <v>17.25</v>
      </c>
      <c r="G1419">
        <v>202</v>
      </c>
      <c r="H1419" s="7">
        <v>46014</v>
      </c>
      <c r="I1419" t="str">
        <f>VLOOKUP(G1419,Kostenstellen!$A$1:$C$17,2,0)</f>
        <v>Recruiting</v>
      </c>
    </row>
    <row r="1420" spans="1:9" x14ac:dyDescent="0.2">
      <c r="A1420">
        <v>6621</v>
      </c>
      <c r="B1420" s="7">
        <v>46015</v>
      </c>
      <c r="C1420" t="s">
        <v>1219</v>
      </c>
      <c r="D1420" t="s">
        <v>1220</v>
      </c>
      <c r="E1420">
        <v>41.36</v>
      </c>
      <c r="G1420">
        <v>202</v>
      </c>
      <c r="H1420" s="7">
        <v>46014</v>
      </c>
      <c r="I1420" t="str">
        <f>VLOOKUP(G1420,Kostenstellen!$A$1:$C$17,2,0)</f>
        <v>Recruiting</v>
      </c>
    </row>
    <row r="1421" spans="1:9" x14ac:dyDescent="0.2">
      <c r="A1421">
        <v>6621</v>
      </c>
      <c r="B1421" s="7">
        <v>46015</v>
      </c>
      <c r="C1421" t="s">
        <v>1221</v>
      </c>
      <c r="D1421" t="s">
        <v>1222</v>
      </c>
      <c r="E1421">
        <v>40</v>
      </c>
      <c r="G1421">
        <v>202</v>
      </c>
      <c r="H1421" s="7">
        <v>46014</v>
      </c>
      <c r="I1421" t="str">
        <f>VLOOKUP(G1421,Kostenstellen!$A$1:$C$17,2,0)</f>
        <v>Recruiting</v>
      </c>
    </row>
    <row r="1422" spans="1:9" x14ac:dyDescent="0.2">
      <c r="A1422">
        <v>6621</v>
      </c>
      <c r="B1422" s="7">
        <v>46020</v>
      </c>
      <c r="C1422" t="s">
        <v>1223</v>
      </c>
      <c r="D1422">
        <v>68955</v>
      </c>
      <c r="E1422">
        <v>42.67</v>
      </c>
      <c r="G1422">
        <v>202</v>
      </c>
      <c r="H1422" s="7">
        <v>46015</v>
      </c>
      <c r="I1422" t="str">
        <f>VLOOKUP(G1422,Kostenstellen!$A$1:$C$17,2,0)</f>
        <v>Recruiting</v>
      </c>
    </row>
    <row r="1423" spans="1:9" x14ac:dyDescent="0.2">
      <c r="A1423">
        <v>6621</v>
      </c>
      <c r="B1423" s="7">
        <v>46020</v>
      </c>
      <c r="C1423" t="s">
        <v>1224</v>
      </c>
      <c r="D1423">
        <v>34810996617</v>
      </c>
      <c r="E1423">
        <v>40</v>
      </c>
      <c r="G1423">
        <v>202</v>
      </c>
      <c r="H1423" s="7">
        <v>46014</v>
      </c>
      <c r="I1423" t="str">
        <f>VLOOKUP(G1423,Kostenstellen!$A$1:$C$17,2,0)</f>
        <v>Recruiting</v>
      </c>
    </row>
    <row r="1424" spans="1:9" x14ac:dyDescent="0.2">
      <c r="A1424">
        <v>6621</v>
      </c>
      <c r="B1424" s="7">
        <v>46020</v>
      </c>
      <c r="C1424" t="s">
        <v>1225</v>
      </c>
      <c r="D1424" t="s">
        <v>1226</v>
      </c>
      <c r="E1424">
        <v>40.57</v>
      </c>
      <c r="G1424">
        <v>202</v>
      </c>
      <c r="H1424" s="7">
        <v>46015</v>
      </c>
      <c r="I1424" t="str">
        <f>VLOOKUP(G1424,Kostenstellen!$A$1:$C$17,2,0)</f>
        <v>Recruiting</v>
      </c>
    </row>
    <row r="1425" spans="1:9" x14ac:dyDescent="0.2">
      <c r="A1425">
        <v>6621</v>
      </c>
      <c r="B1425" s="7">
        <v>46020</v>
      </c>
      <c r="C1425" t="s">
        <v>1227</v>
      </c>
      <c r="D1425" t="s">
        <v>1228</v>
      </c>
      <c r="E1425">
        <v>40.58</v>
      </c>
      <c r="G1425">
        <v>202</v>
      </c>
      <c r="H1425" s="7">
        <v>46015</v>
      </c>
      <c r="I1425" t="str">
        <f>VLOOKUP(G1425,Kostenstellen!$A$1:$C$17,2,0)</f>
        <v>Recruiting</v>
      </c>
    </row>
    <row r="1426" spans="1:9" x14ac:dyDescent="0.2">
      <c r="A1426">
        <v>6640</v>
      </c>
      <c r="B1426" s="7">
        <v>45811</v>
      </c>
      <c r="C1426" t="s">
        <v>1229</v>
      </c>
      <c r="D1426" t="s">
        <v>1183</v>
      </c>
      <c r="E1426">
        <v>667.66</v>
      </c>
      <c r="G1426">
        <v>2011</v>
      </c>
      <c r="I1426" t="str">
        <f>VLOOKUP(G1426,Kostenstellen!$A$1:$C$17,2,0)</f>
        <v>Elsner</v>
      </c>
    </row>
    <row r="1427" spans="1:9" x14ac:dyDescent="0.2">
      <c r="A1427">
        <v>6643</v>
      </c>
      <c r="B1427" s="7">
        <v>45681</v>
      </c>
      <c r="C1427" t="s">
        <v>1230</v>
      </c>
      <c r="D1427" t="s">
        <v>1231</v>
      </c>
      <c r="E1427">
        <v>25.21</v>
      </c>
      <c r="G1427">
        <v>2014</v>
      </c>
      <c r="H1427" s="7">
        <v>45688</v>
      </c>
      <c r="I1427" t="str">
        <f>VLOOKUP(G1427,Kostenstellen!$A$1:$C$17,2,0)</f>
        <v>Buzik</v>
      </c>
    </row>
    <row r="1428" spans="1:9" x14ac:dyDescent="0.2">
      <c r="A1428">
        <v>6643</v>
      </c>
      <c r="B1428" s="7">
        <v>45681</v>
      </c>
      <c r="C1428" t="s">
        <v>1232</v>
      </c>
      <c r="D1428" t="s">
        <v>1231</v>
      </c>
      <c r="E1428">
        <v>25.21</v>
      </c>
      <c r="G1428">
        <v>2012</v>
      </c>
      <c r="H1428" s="7">
        <v>45688</v>
      </c>
      <c r="I1428" t="str">
        <f>VLOOKUP(G1428,Kostenstellen!$A$1:$C$17,2,0)</f>
        <v>Weingartz</v>
      </c>
    </row>
    <row r="1429" spans="1:9" x14ac:dyDescent="0.2">
      <c r="A1429">
        <v>6643</v>
      </c>
      <c r="B1429" s="7">
        <v>45713</v>
      </c>
      <c r="C1429" t="s">
        <v>1233</v>
      </c>
      <c r="D1429" t="s">
        <v>1234</v>
      </c>
      <c r="E1429">
        <v>25.21</v>
      </c>
      <c r="G1429">
        <v>2014</v>
      </c>
      <c r="H1429" s="7">
        <v>45716</v>
      </c>
      <c r="I1429" t="str">
        <f>VLOOKUP(G1429,Kostenstellen!$A$1:$C$17,2,0)</f>
        <v>Buzik</v>
      </c>
    </row>
    <row r="1430" spans="1:9" x14ac:dyDescent="0.2">
      <c r="A1430">
        <v>6643</v>
      </c>
      <c r="B1430" s="7">
        <v>45713</v>
      </c>
      <c r="C1430" t="s">
        <v>1235</v>
      </c>
      <c r="D1430" t="s">
        <v>1234</v>
      </c>
      <c r="E1430">
        <v>25.21</v>
      </c>
      <c r="G1430">
        <v>2012</v>
      </c>
      <c r="H1430" s="7">
        <v>45716</v>
      </c>
      <c r="I1430" t="str">
        <f>VLOOKUP(G1430,Kostenstellen!$A$1:$C$17,2,0)</f>
        <v>Weingartz</v>
      </c>
    </row>
    <row r="1431" spans="1:9" x14ac:dyDescent="0.2">
      <c r="A1431">
        <v>6643</v>
      </c>
      <c r="B1431" s="7">
        <v>45742</v>
      </c>
      <c r="C1431" t="s">
        <v>1236</v>
      </c>
      <c r="D1431" t="s">
        <v>1237</v>
      </c>
      <c r="E1431">
        <v>25.21</v>
      </c>
      <c r="G1431">
        <v>2014</v>
      </c>
      <c r="I1431" t="str">
        <f>VLOOKUP(G1431,Kostenstellen!$A$1:$C$17,2,0)</f>
        <v>Buzik</v>
      </c>
    </row>
    <row r="1432" spans="1:9" x14ac:dyDescent="0.2">
      <c r="A1432">
        <v>6643</v>
      </c>
      <c r="B1432" s="7">
        <v>45742</v>
      </c>
      <c r="C1432" t="s">
        <v>1238</v>
      </c>
      <c r="D1432" t="s">
        <v>1237</v>
      </c>
      <c r="E1432">
        <v>25.21</v>
      </c>
      <c r="G1432">
        <v>2012</v>
      </c>
      <c r="I1432" t="str">
        <f>VLOOKUP(G1432,Kostenstellen!$A$1:$C$17,2,0)</f>
        <v>Weingartz</v>
      </c>
    </row>
    <row r="1433" spans="1:9" x14ac:dyDescent="0.2">
      <c r="A1433">
        <v>6643</v>
      </c>
      <c r="B1433" s="7">
        <v>45757</v>
      </c>
      <c r="C1433" t="s">
        <v>1239</v>
      </c>
      <c r="D1433">
        <v>340921</v>
      </c>
      <c r="E1433">
        <v>35.950000000000003</v>
      </c>
      <c r="G1433">
        <v>202</v>
      </c>
      <c r="I1433" t="str">
        <f>VLOOKUP(G1433,Kostenstellen!$A$1:$C$17,2,0)</f>
        <v>Recruiting</v>
      </c>
    </row>
    <row r="1434" spans="1:9" x14ac:dyDescent="0.2">
      <c r="A1434">
        <v>6643</v>
      </c>
      <c r="B1434" s="7">
        <v>45771</v>
      </c>
      <c r="C1434" t="s">
        <v>1240</v>
      </c>
      <c r="D1434" t="s">
        <v>1241</v>
      </c>
      <c r="E1434">
        <v>25.21</v>
      </c>
      <c r="G1434">
        <v>2014</v>
      </c>
      <c r="I1434" t="str">
        <f>VLOOKUP(G1434,Kostenstellen!$A$1:$C$17,2,0)</f>
        <v>Buzik</v>
      </c>
    </row>
    <row r="1435" spans="1:9" x14ac:dyDescent="0.2">
      <c r="A1435">
        <v>6643</v>
      </c>
      <c r="B1435" s="7">
        <v>45771</v>
      </c>
      <c r="C1435" t="s">
        <v>1242</v>
      </c>
      <c r="D1435" t="s">
        <v>1241</v>
      </c>
      <c r="E1435">
        <v>25.21</v>
      </c>
      <c r="G1435">
        <v>2012</v>
      </c>
      <c r="I1435" t="str">
        <f>VLOOKUP(G1435,Kostenstellen!$A$1:$C$17,2,0)</f>
        <v>Weingartz</v>
      </c>
    </row>
    <row r="1436" spans="1:9" x14ac:dyDescent="0.2">
      <c r="A1436">
        <v>6643</v>
      </c>
      <c r="B1436" s="7">
        <v>45784</v>
      </c>
      <c r="C1436" t="s">
        <v>1239</v>
      </c>
      <c r="D1436" t="s">
        <v>1243</v>
      </c>
      <c r="F1436">
        <v>46.99</v>
      </c>
      <c r="G1436">
        <v>202</v>
      </c>
      <c r="I1436" t="str">
        <f>VLOOKUP(G1436,Kostenstellen!$A$1:$C$17,2,0)</f>
        <v>Recruiting</v>
      </c>
    </row>
    <row r="1437" spans="1:9" x14ac:dyDescent="0.2">
      <c r="A1437">
        <v>6643</v>
      </c>
      <c r="B1437" s="7">
        <v>45800</v>
      </c>
      <c r="C1437" t="s">
        <v>1244</v>
      </c>
      <c r="D1437" t="s">
        <v>1245</v>
      </c>
      <c r="E1437">
        <v>25.21</v>
      </c>
      <c r="G1437">
        <v>2014</v>
      </c>
      <c r="I1437" t="str">
        <f>VLOOKUP(G1437,Kostenstellen!$A$1:$C$17,2,0)</f>
        <v>Buzik</v>
      </c>
    </row>
    <row r="1438" spans="1:9" x14ac:dyDescent="0.2">
      <c r="A1438">
        <v>6643</v>
      </c>
      <c r="B1438" s="7">
        <v>45800</v>
      </c>
      <c r="C1438" t="s">
        <v>1246</v>
      </c>
      <c r="D1438" t="s">
        <v>1245</v>
      </c>
      <c r="E1438">
        <v>25.21</v>
      </c>
      <c r="G1438">
        <v>2012</v>
      </c>
      <c r="I1438" t="str">
        <f>VLOOKUP(G1438,Kostenstellen!$A$1:$C$17,2,0)</f>
        <v>Weingartz</v>
      </c>
    </row>
    <row r="1439" spans="1:9" x14ac:dyDescent="0.2">
      <c r="A1439">
        <v>6643</v>
      </c>
      <c r="B1439" s="7">
        <v>45834</v>
      </c>
      <c r="C1439" t="s">
        <v>1247</v>
      </c>
      <c r="D1439" t="s">
        <v>1248</v>
      </c>
      <c r="E1439">
        <v>25.21</v>
      </c>
      <c r="G1439">
        <v>2014</v>
      </c>
      <c r="H1439" s="7">
        <v>45838</v>
      </c>
      <c r="I1439" t="str">
        <f>VLOOKUP(G1439,Kostenstellen!$A$1:$C$17,2,0)</f>
        <v>Buzik</v>
      </c>
    </row>
    <row r="1440" spans="1:9" x14ac:dyDescent="0.2">
      <c r="A1440">
        <v>6643</v>
      </c>
      <c r="B1440" s="7">
        <v>45834</v>
      </c>
      <c r="C1440" t="s">
        <v>1249</v>
      </c>
      <c r="D1440" t="s">
        <v>1248</v>
      </c>
      <c r="E1440">
        <v>25.21</v>
      </c>
      <c r="G1440">
        <v>2012</v>
      </c>
      <c r="H1440" s="7">
        <v>45838</v>
      </c>
      <c r="I1440" t="str">
        <f>VLOOKUP(G1440,Kostenstellen!$A$1:$C$17,2,0)</f>
        <v>Weingartz</v>
      </c>
    </row>
    <row r="1441" spans="1:9" x14ac:dyDescent="0.2">
      <c r="A1441">
        <v>6643</v>
      </c>
      <c r="B1441" s="7">
        <v>45853</v>
      </c>
      <c r="C1441" t="s">
        <v>1250</v>
      </c>
      <c r="D1441">
        <v>9812093838</v>
      </c>
      <c r="E1441">
        <v>49.4</v>
      </c>
      <c r="G1441">
        <v>202</v>
      </c>
      <c r="I1441" t="str">
        <f>VLOOKUP(G1441,Kostenstellen!$A$1:$C$17,2,0)</f>
        <v>Recruiting</v>
      </c>
    </row>
    <row r="1442" spans="1:9" x14ac:dyDescent="0.2">
      <c r="A1442">
        <v>6643</v>
      </c>
      <c r="B1442" s="7">
        <v>45862</v>
      </c>
      <c r="C1442" t="s">
        <v>1251</v>
      </c>
      <c r="D1442" t="s">
        <v>1252</v>
      </c>
      <c r="E1442">
        <v>25.21</v>
      </c>
      <c r="G1442">
        <v>2014</v>
      </c>
      <c r="I1442" t="str">
        <f>VLOOKUP(G1442,Kostenstellen!$A$1:$C$17,2,0)</f>
        <v>Buzik</v>
      </c>
    </row>
    <row r="1443" spans="1:9" x14ac:dyDescent="0.2">
      <c r="A1443">
        <v>6643</v>
      </c>
      <c r="B1443" s="7">
        <v>45862</v>
      </c>
      <c r="C1443" t="s">
        <v>1253</v>
      </c>
      <c r="D1443" t="s">
        <v>1252</v>
      </c>
      <c r="E1443">
        <v>25.21</v>
      </c>
      <c r="G1443">
        <v>2012</v>
      </c>
      <c r="I1443" t="str">
        <f>VLOOKUP(G1443,Kostenstellen!$A$1:$C$17,2,0)</f>
        <v>Weingartz</v>
      </c>
    </row>
    <row r="1444" spans="1:9" x14ac:dyDescent="0.2">
      <c r="A1444">
        <v>6643</v>
      </c>
      <c r="B1444" s="7">
        <v>45895</v>
      </c>
      <c r="C1444" t="s">
        <v>1254</v>
      </c>
      <c r="D1444" t="s">
        <v>1255</v>
      </c>
      <c r="E1444">
        <v>25.21</v>
      </c>
      <c r="G1444">
        <v>2014</v>
      </c>
      <c r="I1444" t="str">
        <f>VLOOKUP(G1444,Kostenstellen!$A$1:$C$17,2,0)</f>
        <v>Buzik</v>
      </c>
    </row>
    <row r="1445" spans="1:9" x14ac:dyDescent="0.2">
      <c r="A1445">
        <v>6643</v>
      </c>
      <c r="B1445" s="7">
        <v>45895</v>
      </c>
      <c r="C1445" t="s">
        <v>1256</v>
      </c>
      <c r="D1445" t="s">
        <v>1255</v>
      </c>
      <c r="E1445">
        <v>25.21</v>
      </c>
      <c r="G1445">
        <v>2012</v>
      </c>
      <c r="I1445" t="str">
        <f>VLOOKUP(G1445,Kostenstellen!$A$1:$C$17,2,0)</f>
        <v>Weingartz</v>
      </c>
    </row>
    <row r="1446" spans="1:9" x14ac:dyDescent="0.2">
      <c r="A1446">
        <v>6643</v>
      </c>
      <c r="B1446" s="7">
        <v>45925</v>
      </c>
      <c r="C1446" t="s">
        <v>1257</v>
      </c>
      <c r="D1446" t="s">
        <v>1258</v>
      </c>
      <c r="E1446">
        <v>25.21</v>
      </c>
      <c r="G1446">
        <v>2014</v>
      </c>
      <c r="I1446" t="str">
        <f>VLOOKUP(G1446,Kostenstellen!$A$1:$C$17,2,0)</f>
        <v>Buzik</v>
      </c>
    </row>
    <row r="1447" spans="1:9" x14ac:dyDescent="0.2">
      <c r="A1447">
        <v>6643</v>
      </c>
      <c r="B1447" s="7">
        <v>45925</v>
      </c>
      <c r="C1447" t="s">
        <v>1259</v>
      </c>
      <c r="D1447" t="s">
        <v>1258</v>
      </c>
      <c r="E1447">
        <v>25.21</v>
      </c>
      <c r="G1447">
        <v>2012</v>
      </c>
      <c r="I1447" t="str">
        <f>VLOOKUP(G1447,Kostenstellen!$A$1:$C$17,2,0)</f>
        <v>Weingartz</v>
      </c>
    </row>
    <row r="1448" spans="1:9" x14ac:dyDescent="0.2">
      <c r="A1448">
        <v>6643</v>
      </c>
      <c r="B1448" s="7">
        <v>45954</v>
      </c>
      <c r="C1448" t="s">
        <v>1260</v>
      </c>
      <c r="D1448" t="s">
        <v>1261</v>
      </c>
      <c r="E1448">
        <v>25.21</v>
      </c>
      <c r="G1448">
        <v>2014</v>
      </c>
      <c r="I1448" t="str">
        <f>VLOOKUP(G1448,Kostenstellen!$A$1:$C$17,2,0)</f>
        <v>Buzik</v>
      </c>
    </row>
    <row r="1449" spans="1:9" x14ac:dyDescent="0.2">
      <c r="A1449">
        <v>6643</v>
      </c>
      <c r="B1449" s="7">
        <v>45954</v>
      </c>
      <c r="C1449" t="s">
        <v>1262</v>
      </c>
      <c r="D1449" t="s">
        <v>1261</v>
      </c>
      <c r="E1449">
        <v>25.21</v>
      </c>
      <c r="G1449">
        <v>2012</v>
      </c>
      <c r="I1449" t="str">
        <f>VLOOKUP(G1449,Kostenstellen!$A$1:$C$17,2,0)</f>
        <v>Weingartz</v>
      </c>
    </row>
    <row r="1450" spans="1:9" x14ac:dyDescent="0.2">
      <c r="A1450">
        <v>6643</v>
      </c>
      <c r="B1450" s="7">
        <v>45982</v>
      </c>
      <c r="C1450" t="s">
        <v>1263</v>
      </c>
      <c r="D1450" t="s">
        <v>1264</v>
      </c>
      <c r="E1450">
        <v>242.62</v>
      </c>
      <c r="G1450">
        <v>230</v>
      </c>
      <c r="H1450" s="7">
        <v>45981</v>
      </c>
      <c r="I1450" t="str">
        <f>VLOOKUP(G1450,Kostenstellen!$A$1:$C$17,2,0)</f>
        <v>Sales</v>
      </c>
    </row>
    <row r="1451" spans="1:9" x14ac:dyDescent="0.2">
      <c r="A1451">
        <v>6643</v>
      </c>
      <c r="B1451" s="7">
        <v>45986</v>
      </c>
      <c r="C1451" t="s">
        <v>1265</v>
      </c>
      <c r="D1451" t="s">
        <v>1266</v>
      </c>
      <c r="E1451">
        <v>25.21</v>
      </c>
      <c r="G1451">
        <v>2014</v>
      </c>
      <c r="I1451" t="str">
        <f>VLOOKUP(G1451,Kostenstellen!$A$1:$C$17,2,0)</f>
        <v>Buzik</v>
      </c>
    </row>
    <row r="1452" spans="1:9" x14ac:dyDescent="0.2">
      <c r="A1452">
        <v>6643</v>
      </c>
      <c r="B1452" s="7">
        <v>45986</v>
      </c>
      <c r="C1452" t="s">
        <v>1267</v>
      </c>
      <c r="D1452" t="s">
        <v>1266</v>
      </c>
      <c r="E1452">
        <v>25.21</v>
      </c>
      <c r="G1452">
        <v>2012</v>
      </c>
      <c r="I1452" t="str">
        <f>VLOOKUP(G1452,Kostenstellen!$A$1:$C$17,2,0)</f>
        <v>Weingartz</v>
      </c>
    </row>
    <row r="1453" spans="1:9" x14ac:dyDescent="0.2">
      <c r="A1453">
        <v>6643</v>
      </c>
      <c r="B1453" s="7">
        <v>46014</v>
      </c>
      <c r="C1453" t="s">
        <v>1268</v>
      </c>
      <c r="D1453" t="s">
        <v>1212</v>
      </c>
      <c r="E1453">
        <v>80</v>
      </c>
      <c r="G1453">
        <v>202</v>
      </c>
      <c r="H1453" s="7">
        <v>46014</v>
      </c>
      <c r="I1453" t="str">
        <f>VLOOKUP(G1453,Kostenstellen!$A$1:$C$17,2,0)</f>
        <v>Recruiting</v>
      </c>
    </row>
    <row r="1454" spans="1:9" x14ac:dyDescent="0.2">
      <c r="A1454">
        <v>6643</v>
      </c>
      <c r="B1454" s="7">
        <v>46014</v>
      </c>
      <c r="C1454" t="s">
        <v>1269</v>
      </c>
      <c r="D1454" t="s">
        <v>1270</v>
      </c>
      <c r="E1454">
        <v>120</v>
      </c>
      <c r="G1454">
        <v>202</v>
      </c>
      <c r="H1454" s="7">
        <v>46014</v>
      </c>
      <c r="I1454" t="str">
        <f>VLOOKUP(G1454,Kostenstellen!$A$1:$C$17,2,0)</f>
        <v>Recruiting</v>
      </c>
    </row>
    <row r="1455" spans="1:9" x14ac:dyDescent="0.2">
      <c r="A1455">
        <v>6643</v>
      </c>
      <c r="B1455" s="7">
        <v>46015</v>
      </c>
      <c r="C1455" t="s">
        <v>1271</v>
      </c>
      <c r="D1455" t="s">
        <v>1272</v>
      </c>
      <c r="E1455">
        <v>40</v>
      </c>
      <c r="G1455">
        <v>202</v>
      </c>
      <c r="H1455" s="7">
        <v>46013</v>
      </c>
      <c r="I1455" t="str">
        <f>VLOOKUP(G1455,Kostenstellen!$A$1:$C$17,2,0)</f>
        <v>Recruiting</v>
      </c>
    </row>
    <row r="1456" spans="1:9" x14ac:dyDescent="0.2">
      <c r="A1456">
        <v>6643</v>
      </c>
      <c r="B1456" s="7">
        <v>46015</v>
      </c>
      <c r="C1456" t="s">
        <v>1273</v>
      </c>
      <c r="D1456" t="s">
        <v>1274</v>
      </c>
      <c r="E1456">
        <v>40</v>
      </c>
      <c r="G1456">
        <v>202</v>
      </c>
      <c r="H1456" s="7">
        <v>46014</v>
      </c>
      <c r="I1456" t="str">
        <f>VLOOKUP(G1456,Kostenstellen!$A$1:$C$17,2,0)</f>
        <v>Recruiting</v>
      </c>
    </row>
    <row r="1457" spans="1:9" x14ac:dyDescent="0.2">
      <c r="A1457">
        <v>6643</v>
      </c>
      <c r="B1457" s="7">
        <v>46021</v>
      </c>
      <c r="C1457" t="s">
        <v>1275</v>
      </c>
      <c r="D1457" t="s">
        <v>1276</v>
      </c>
      <c r="E1457">
        <v>25.21</v>
      </c>
      <c r="G1457">
        <v>2014</v>
      </c>
      <c r="I1457" t="str">
        <f>VLOOKUP(G1457,Kostenstellen!$A$1:$C$17,2,0)</f>
        <v>Buzik</v>
      </c>
    </row>
    <row r="1458" spans="1:9" x14ac:dyDescent="0.2">
      <c r="A1458">
        <v>6643</v>
      </c>
      <c r="B1458" s="7">
        <v>46021</v>
      </c>
      <c r="C1458" t="s">
        <v>1277</v>
      </c>
      <c r="D1458" t="s">
        <v>1276</v>
      </c>
      <c r="E1458">
        <v>25.21</v>
      </c>
      <c r="G1458">
        <v>2012</v>
      </c>
      <c r="I1458" t="str">
        <f>VLOOKUP(G1458,Kostenstellen!$A$1:$C$17,2,0)</f>
        <v>Weingartz</v>
      </c>
    </row>
    <row r="1459" spans="1:9" x14ac:dyDescent="0.2">
      <c r="A1459">
        <v>6644</v>
      </c>
      <c r="B1459" s="7">
        <v>45811</v>
      </c>
      <c r="C1459" t="s">
        <v>1229</v>
      </c>
      <c r="D1459" t="s">
        <v>1183</v>
      </c>
      <c r="E1459">
        <v>286.14</v>
      </c>
      <c r="G1459">
        <v>2011</v>
      </c>
      <c r="I1459" t="str">
        <f>VLOOKUP(G1459,Kostenstellen!$A$1:$C$17,2,0)</f>
        <v>Elsner</v>
      </c>
    </row>
    <row r="1460" spans="1:9" x14ac:dyDescent="0.2">
      <c r="A1460">
        <v>6645</v>
      </c>
      <c r="B1460" s="7">
        <v>45709</v>
      </c>
      <c r="C1460" t="s">
        <v>1278</v>
      </c>
      <c r="D1460" t="s">
        <v>1279</v>
      </c>
      <c r="E1460">
        <v>24.29</v>
      </c>
      <c r="G1460">
        <v>2011</v>
      </c>
      <c r="I1460" t="str">
        <f>VLOOKUP(G1460,Kostenstellen!$A$1:$C$17,2,0)</f>
        <v>Elsner</v>
      </c>
    </row>
    <row r="1461" spans="1:9" x14ac:dyDescent="0.2">
      <c r="A1461">
        <v>6645</v>
      </c>
      <c r="B1461" s="7">
        <v>45710</v>
      </c>
      <c r="C1461" t="s">
        <v>1280</v>
      </c>
      <c r="D1461" t="s">
        <v>1279</v>
      </c>
      <c r="E1461">
        <v>10.84</v>
      </c>
      <c r="G1461">
        <v>2011</v>
      </c>
      <c r="I1461" t="str">
        <f>VLOOKUP(G1461,Kostenstellen!$A$1:$C$17,2,0)</f>
        <v>Elsner</v>
      </c>
    </row>
    <row r="1462" spans="1:9" x14ac:dyDescent="0.2">
      <c r="A1462">
        <v>6645</v>
      </c>
      <c r="B1462" s="7">
        <v>45813</v>
      </c>
      <c r="C1462" t="s">
        <v>1278</v>
      </c>
      <c r="D1462" t="s">
        <v>1183</v>
      </c>
      <c r="E1462">
        <v>11.68</v>
      </c>
      <c r="G1462">
        <v>2011</v>
      </c>
      <c r="I1462" t="str">
        <f>VLOOKUP(G1462,Kostenstellen!$A$1:$C$17,2,0)</f>
        <v>Elsner</v>
      </c>
    </row>
    <row r="1463" spans="1:9" x14ac:dyDescent="0.2">
      <c r="A1463">
        <v>6645</v>
      </c>
      <c r="B1463" s="7">
        <v>45833</v>
      </c>
      <c r="C1463" t="s">
        <v>1281</v>
      </c>
      <c r="D1463" t="s">
        <v>1282</v>
      </c>
      <c r="E1463">
        <v>27.73</v>
      </c>
      <c r="G1463">
        <v>2011</v>
      </c>
      <c r="I1463" t="str">
        <f>VLOOKUP(G1463,Kostenstellen!$A$1:$C$17,2,0)</f>
        <v>Elsner</v>
      </c>
    </row>
    <row r="1464" spans="1:9" x14ac:dyDescent="0.2">
      <c r="A1464">
        <v>6650</v>
      </c>
      <c r="B1464" s="7">
        <v>45810</v>
      </c>
      <c r="C1464" t="s">
        <v>1283</v>
      </c>
      <c r="D1464" t="s">
        <v>1183</v>
      </c>
      <c r="E1464">
        <v>8.26</v>
      </c>
      <c r="G1464">
        <v>2011</v>
      </c>
      <c r="I1464" t="str">
        <f>VLOOKUP(G1464,Kostenstellen!$A$1:$C$17,2,0)</f>
        <v>Elsner</v>
      </c>
    </row>
    <row r="1465" spans="1:9" x14ac:dyDescent="0.2">
      <c r="A1465">
        <v>6650</v>
      </c>
      <c r="B1465" s="7">
        <v>45810</v>
      </c>
      <c r="C1465" t="s">
        <v>1284</v>
      </c>
      <c r="D1465" t="s">
        <v>1183</v>
      </c>
      <c r="E1465">
        <v>0.79</v>
      </c>
      <c r="G1465">
        <v>2011</v>
      </c>
      <c r="I1465" t="str">
        <f>VLOOKUP(G1465,Kostenstellen!$A$1:$C$17,2,0)</f>
        <v>Elsner</v>
      </c>
    </row>
    <row r="1466" spans="1:9" x14ac:dyDescent="0.2">
      <c r="A1466">
        <v>6650</v>
      </c>
      <c r="B1466" s="7">
        <v>45810</v>
      </c>
      <c r="C1466" t="s">
        <v>1285</v>
      </c>
      <c r="D1466" t="s">
        <v>1183</v>
      </c>
      <c r="E1466">
        <v>19.07</v>
      </c>
      <c r="G1466">
        <v>2011</v>
      </c>
      <c r="I1466" t="str">
        <f>VLOOKUP(G1466,Kostenstellen!$A$1:$C$17,2,0)</f>
        <v>Elsner</v>
      </c>
    </row>
    <row r="1467" spans="1:9" x14ac:dyDescent="0.2">
      <c r="A1467">
        <v>6650</v>
      </c>
      <c r="B1467" s="7">
        <v>45811</v>
      </c>
      <c r="C1467" t="s">
        <v>1286</v>
      </c>
      <c r="D1467" t="s">
        <v>1183</v>
      </c>
      <c r="E1467">
        <v>0.12</v>
      </c>
      <c r="G1467">
        <v>2011</v>
      </c>
      <c r="I1467" t="str">
        <f>VLOOKUP(G1467,Kostenstellen!$A$1:$C$17,2,0)</f>
        <v>Elsner</v>
      </c>
    </row>
    <row r="1468" spans="1:9" x14ac:dyDescent="0.2">
      <c r="A1468">
        <v>6650</v>
      </c>
      <c r="B1468" s="7">
        <v>45812</v>
      </c>
      <c r="C1468" t="s">
        <v>1287</v>
      </c>
      <c r="D1468" t="s">
        <v>1183</v>
      </c>
      <c r="E1468">
        <v>0.16</v>
      </c>
      <c r="G1468">
        <v>2011</v>
      </c>
      <c r="I1468" t="str">
        <f>VLOOKUP(G1468,Kostenstellen!$A$1:$C$17,2,0)</f>
        <v>Elsner</v>
      </c>
    </row>
    <row r="1469" spans="1:9" x14ac:dyDescent="0.2">
      <c r="A1469">
        <v>6650</v>
      </c>
      <c r="B1469" s="7">
        <v>45812</v>
      </c>
      <c r="C1469" t="s">
        <v>1288</v>
      </c>
      <c r="D1469" t="s">
        <v>1183</v>
      </c>
      <c r="E1469">
        <v>0.97</v>
      </c>
      <c r="G1469">
        <v>2011</v>
      </c>
      <c r="I1469" t="str">
        <f>VLOOKUP(G1469,Kostenstellen!$A$1:$C$17,2,0)</f>
        <v>Elsner</v>
      </c>
    </row>
    <row r="1470" spans="1:9" x14ac:dyDescent="0.2">
      <c r="A1470">
        <v>6652</v>
      </c>
      <c r="B1470" s="7">
        <v>45813</v>
      </c>
      <c r="C1470" t="s">
        <v>1289</v>
      </c>
      <c r="D1470" t="s">
        <v>1183</v>
      </c>
      <c r="E1470">
        <v>20.55</v>
      </c>
      <c r="G1470">
        <v>2011</v>
      </c>
      <c r="I1470" t="str">
        <f>VLOOKUP(G1470,Kostenstellen!$A$1:$C$17,2,0)</f>
        <v>Elsner</v>
      </c>
    </row>
    <row r="1471" spans="1:9" x14ac:dyDescent="0.2">
      <c r="A1471">
        <v>6652</v>
      </c>
      <c r="B1471" s="7">
        <v>45820</v>
      </c>
      <c r="C1471" t="s">
        <v>1290</v>
      </c>
      <c r="D1471" t="s">
        <v>1291</v>
      </c>
      <c r="E1471">
        <v>26.16</v>
      </c>
      <c r="G1471">
        <v>2011</v>
      </c>
      <c r="I1471" t="str">
        <f>VLOOKUP(G1471,Kostenstellen!$A$1:$C$17,2,0)</f>
        <v>Elsner</v>
      </c>
    </row>
    <row r="1472" spans="1:9" x14ac:dyDescent="0.2">
      <c r="A1472">
        <v>6652</v>
      </c>
      <c r="B1472" s="7">
        <v>45958</v>
      </c>
      <c r="C1472" t="s">
        <v>1292</v>
      </c>
      <c r="D1472" t="s">
        <v>1293</v>
      </c>
      <c r="E1472">
        <v>52.24</v>
      </c>
      <c r="G1472">
        <v>2011</v>
      </c>
      <c r="I1472" t="str">
        <f>VLOOKUP(G1472,Kostenstellen!$A$1:$C$17,2,0)</f>
        <v>Elsner</v>
      </c>
    </row>
    <row r="1473" spans="1:9" x14ac:dyDescent="0.2">
      <c r="A1473">
        <v>6652</v>
      </c>
      <c r="B1473" s="7">
        <v>46007</v>
      </c>
      <c r="C1473" t="s">
        <v>1294</v>
      </c>
      <c r="D1473" t="s">
        <v>1295</v>
      </c>
      <c r="E1473">
        <v>36.97</v>
      </c>
      <c r="G1473">
        <v>2011</v>
      </c>
      <c r="I1473" t="str">
        <f>VLOOKUP(G1473,Kostenstellen!$A$1:$C$17,2,0)</f>
        <v>Elsner</v>
      </c>
    </row>
    <row r="1474" spans="1:9" x14ac:dyDescent="0.2">
      <c r="A1474">
        <v>6660</v>
      </c>
      <c r="B1474" s="7">
        <v>45709</v>
      </c>
      <c r="C1474" t="s">
        <v>1296</v>
      </c>
      <c r="D1474" t="s">
        <v>1279</v>
      </c>
      <c r="E1474">
        <v>65.61</v>
      </c>
      <c r="G1474">
        <v>2011</v>
      </c>
      <c r="I1474" t="str">
        <f>VLOOKUP(G1474,Kostenstellen!$A$1:$C$17,2,0)</f>
        <v>Elsner</v>
      </c>
    </row>
    <row r="1475" spans="1:9" x14ac:dyDescent="0.2">
      <c r="A1475">
        <v>6660</v>
      </c>
      <c r="B1475" s="7">
        <v>45709</v>
      </c>
      <c r="C1475" t="s">
        <v>1297</v>
      </c>
      <c r="D1475" t="s">
        <v>1279</v>
      </c>
      <c r="E1475">
        <v>3.51</v>
      </c>
      <c r="G1475">
        <v>2011</v>
      </c>
      <c r="I1475" t="str">
        <f>VLOOKUP(G1475,Kostenstellen!$A$1:$C$17,2,0)</f>
        <v>Elsner</v>
      </c>
    </row>
    <row r="1476" spans="1:9" x14ac:dyDescent="0.2">
      <c r="A1476">
        <v>6660</v>
      </c>
      <c r="B1476" s="7">
        <v>45710</v>
      </c>
      <c r="C1476" t="s">
        <v>1298</v>
      </c>
      <c r="D1476" t="s">
        <v>1279</v>
      </c>
      <c r="E1476">
        <v>59.72</v>
      </c>
      <c r="G1476">
        <v>2011</v>
      </c>
      <c r="I1476" t="str">
        <f>VLOOKUP(G1476,Kostenstellen!$A$1:$C$17,2,0)</f>
        <v>Elsner</v>
      </c>
    </row>
    <row r="1477" spans="1:9" x14ac:dyDescent="0.2">
      <c r="A1477">
        <v>6660</v>
      </c>
      <c r="B1477" s="7">
        <v>45710</v>
      </c>
      <c r="C1477" t="s">
        <v>1299</v>
      </c>
      <c r="D1477" t="s">
        <v>1279</v>
      </c>
      <c r="E1477">
        <v>3.2</v>
      </c>
      <c r="G1477">
        <v>2011</v>
      </c>
      <c r="I1477" t="str">
        <f>VLOOKUP(G1477,Kostenstellen!$A$1:$C$17,2,0)</f>
        <v>Elsner</v>
      </c>
    </row>
    <row r="1478" spans="1:9" x14ac:dyDescent="0.2">
      <c r="A1478">
        <v>6660</v>
      </c>
      <c r="B1478" s="7">
        <v>45812</v>
      </c>
      <c r="C1478" t="s">
        <v>1300</v>
      </c>
      <c r="D1478" t="s">
        <v>1183</v>
      </c>
      <c r="E1478">
        <v>375.26</v>
      </c>
      <c r="G1478">
        <v>2011</v>
      </c>
      <c r="I1478" t="str">
        <f>VLOOKUP(G1478,Kostenstellen!$A$1:$C$17,2,0)</f>
        <v>Elsner</v>
      </c>
    </row>
    <row r="1479" spans="1:9" x14ac:dyDescent="0.2">
      <c r="A1479">
        <v>6660</v>
      </c>
      <c r="B1479" s="7">
        <v>45813</v>
      </c>
      <c r="C1479" t="s">
        <v>1296</v>
      </c>
      <c r="D1479" t="s">
        <v>1183</v>
      </c>
      <c r="E1479">
        <v>184.11</v>
      </c>
      <c r="G1479">
        <v>2011</v>
      </c>
      <c r="I1479" t="str">
        <f>VLOOKUP(G1479,Kostenstellen!$A$1:$C$17,2,0)</f>
        <v>Elsner</v>
      </c>
    </row>
    <row r="1480" spans="1:9" x14ac:dyDescent="0.2">
      <c r="A1480">
        <v>6660</v>
      </c>
      <c r="B1480" s="7">
        <v>45813</v>
      </c>
      <c r="C1480" t="s">
        <v>1301</v>
      </c>
      <c r="D1480" t="s">
        <v>1183</v>
      </c>
      <c r="E1480">
        <v>9.85</v>
      </c>
      <c r="G1480">
        <v>2011</v>
      </c>
      <c r="I1480" t="str">
        <f>VLOOKUP(G1480,Kostenstellen!$A$1:$C$17,2,0)</f>
        <v>Elsner</v>
      </c>
    </row>
    <row r="1481" spans="1:9" x14ac:dyDescent="0.2">
      <c r="A1481">
        <v>6660</v>
      </c>
      <c r="B1481" s="7">
        <v>45833</v>
      </c>
      <c r="C1481" t="s">
        <v>1302</v>
      </c>
      <c r="D1481" t="s">
        <v>1282</v>
      </c>
      <c r="E1481">
        <v>442.13</v>
      </c>
      <c r="G1481">
        <v>2011</v>
      </c>
      <c r="I1481" t="str">
        <f>VLOOKUP(G1481,Kostenstellen!$A$1:$C$17,2,0)</f>
        <v>Elsner</v>
      </c>
    </row>
    <row r="1482" spans="1:9" x14ac:dyDescent="0.2">
      <c r="A1482">
        <v>6660</v>
      </c>
      <c r="B1482" s="7">
        <v>45899</v>
      </c>
      <c r="C1482" t="s">
        <v>1303</v>
      </c>
      <c r="D1482" t="s">
        <v>1304</v>
      </c>
      <c r="E1482">
        <v>87.81</v>
      </c>
      <c r="G1482">
        <v>2011</v>
      </c>
      <c r="I1482" t="str">
        <f>VLOOKUP(G1482,Kostenstellen!$A$1:$C$17,2,0)</f>
        <v>Elsner</v>
      </c>
    </row>
    <row r="1483" spans="1:9" x14ac:dyDescent="0.2">
      <c r="A1483">
        <v>6660</v>
      </c>
      <c r="B1483" s="7">
        <v>45899</v>
      </c>
      <c r="C1483" t="s">
        <v>1305</v>
      </c>
      <c r="D1483" t="s">
        <v>1304</v>
      </c>
      <c r="E1483">
        <v>4.7</v>
      </c>
      <c r="G1483">
        <v>2011</v>
      </c>
      <c r="I1483" t="str">
        <f>VLOOKUP(G1483,Kostenstellen!$A$1:$C$17,2,0)</f>
        <v>Elsner</v>
      </c>
    </row>
    <row r="1484" spans="1:9" x14ac:dyDescent="0.2">
      <c r="A1484">
        <v>6660</v>
      </c>
      <c r="B1484" s="7">
        <v>45909</v>
      </c>
      <c r="C1484" t="s">
        <v>1306</v>
      </c>
      <c r="D1484" t="s">
        <v>1307</v>
      </c>
      <c r="E1484">
        <v>698.06</v>
      </c>
      <c r="G1484">
        <v>2011</v>
      </c>
      <c r="I1484" t="str">
        <f>VLOOKUP(G1484,Kostenstellen!$A$1:$C$17,2,0)</f>
        <v>Elsner</v>
      </c>
    </row>
    <row r="1485" spans="1:9" x14ac:dyDescent="0.2">
      <c r="A1485">
        <v>6660</v>
      </c>
      <c r="B1485" s="7">
        <v>45924</v>
      </c>
      <c r="C1485" t="s">
        <v>1308</v>
      </c>
      <c r="D1485" t="s">
        <v>1309</v>
      </c>
      <c r="E1485">
        <v>156.44999999999999</v>
      </c>
      <c r="G1485">
        <v>2011</v>
      </c>
      <c r="I1485" t="str">
        <f>VLOOKUP(G1485,Kostenstellen!$A$1:$C$17,2,0)</f>
        <v>Elsner</v>
      </c>
    </row>
    <row r="1486" spans="1:9" x14ac:dyDescent="0.2">
      <c r="A1486">
        <v>6660</v>
      </c>
      <c r="B1486" s="7">
        <v>45924</v>
      </c>
      <c r="C1486" t="s">
        <v>1310</v>
      </c>
      <c r="D1486" t="s">
        <v>1309</v>
      </c>
      <c r="E1486">
        <v>8.3699999999999992</v>
      </c>
      <c r="G1486">
        <v>2011</v>
      </c>
      <c r="I1486" t="str">
        <f>VLOOKUP(G1486,Kostenstellen!$A$1:$C$17,2,0)</f>
        <v>Elsner</v>
      </c>
    </row>
    <row r="1487" spans="1:9" x14ac:dyDescent="0.2">
      <c r="A1487">
        <v>6660</v>
      </c>
      <c r="B1487" s="7">
        <v>45925</v>
      </c>
      <c r="C1487" t="s">
        <v>1296</v>
      </c>
      <c r="D1487" t="s">
        <v>1309</v>
      </c>
      <c r="E1487">
        <v>83.27</v>
      </c>
      <c r="G1487">
        <v>2011</v>
      </c>
      <c r="I1487" t="str">
        <f>VLOOKUP(G1487,Kostenstellen!$A$1:$C$17,2,0)</f>
        <v>Elsner</v>
      </c>
    </row>
    <row r="1488" spans="1:9" x14ac:dyDescent="0.2">
      <c r="A1488">
        <v>6660</v>
      </c>
      <c r="B1488" s="7">
        <v>45925</v>
      </c>
      <c r="C1488" t="s">
        <v>1311</v>
      </c>
      <c r="D1488" t="s">
        <v>1309</v>
      </c>
      <c r="E1488">
        <v>4.46</v>
      </c>
      <c r="G1488">
        <v>2011</v>
      </c>
      <c r="I1488" t="str">
        <f>VLOOKUP(G1488,Kostenstellen!$A$1:$C$17,2,0)</f>
        <v>Elsner</v>
      </c>
    </row>
    <row r="1489" spans="1:9" x14ac:dyDescent="0.2">
      <c r="A1489">
        <v>6660</v>
      </c>
      <c r="B1489" s="7">
        <v>45932</v>
      </c>
      <c r="C1489" t="s">
        <v>1312</v>
      </c>
      <c r="D1489" t="s">
        <v>1313</v>
      </c>
      <c r="E1489">
        <v>280.37</v>
      </c>
      <c r="G1489">
        <v>2011</v>
      </c>
      <c r="I1489" t="str">
        <f>VLOOKUP(G1489,Kostenstellen!$A$1:$C$17,2,0)</f>
        <v>Elsner</v>
      </c>
    </row>
    <row r="1490" spans="1:9" x14ac:dyDescent="0.2">
      <c r="A1490">
        <v>6660</v>
      </c>
      <c r="B1490" s="7">
        <v>45932</v>
      </c>
      <c r="C1490" t="s">
        <v>1314</v>
      </c>
      <c r="D1490" t="s">
        <v>1313</v>
      </c>
      <c r="E1490">
        <v>21.42</v>
      </c>
      <c r="G1490">
        <v>2011</v>
      </c>
      <c r="I1490" t="str">
        <f>VLOOKUP(G1490,Kostenstellen!$A$1:$C$17,2,0)</f>
        <v>Elsner</v>
      </c>
    </row>
    <row r="1491" spans="1:9" x14ac:dyDescent="0.2">
      <c r="A1491">
        <v>6662</v>
      </c>
      <c r="B1491" s="7">
        <v>45810</v>
      </c>
      <c r="C1491" t="s">
        <v>1315</v>
      </c>
      <c r="D1491" t="s">
        <v>1183</v>
      </c>
      <c r="E1491">
        <v>39.71</v>
      </c>
      <c r="G1491">
        <v>2011</v>
      </c>
      <c r="I1491" t="str">
        <f>VLOOKUP(G1491,Kostenstellen!$A$1:$C$17,2,0)</f>
        <v>Elsner</v>
      </c>
    </row>
    <row r="1492" spans="1:9" x14ac:dyDescent="0.2">
      <c r="A1492">
        <v>6662</v>
      </c>
      <c r="B1492" s="7">
        <v>45810</v>
      </c>
      <c r="C1492" t="s">
        <v>1316</v>
      </c>
      <c r="D1492" t="s">
        <v>1183</v>
      </c>
      <c r="E1492">
        <v>58.79</v>
      </c>
      <c r="G1492">
        <v>2011</v>
      </c>
      <c r="I1492" t="str">
        <f>VLOOKUP(G1492,Kostenstellen!$A$1:$C$17,2,0)</f>
        <v>Elsner</v>
      </c>
    </row>
    <row r="1493" spans="1:9" x14ac:dyDescent="0.2">
      <c r="A1493">
        <v>6662</v>
      </c>
      <c r="B1493" s="7">
        <v>45810</v>
      </c>
      <c r="C1493" t="s">
        <v>1317</v>
      </c>
      <c r="D1493" t="s">
        <v>1183</v>
      </c>
      <c r="E1493">
        <v>121.85</v>
      </c>
      <c r="G1493">
        <v>2011</v>
      </c>
      <c r="I1493" t="str">
        <f>VLOOKUP(G1493,Kostenstellen!$A$1:$C$17,2,0)</f>
        <v>Elsner</v>
      </c>
    </row>
    <row r="1494" spans="1:9" x14ac:dyDescent="0.2">
      <c r="A1494">
        <v>6662</v>
      </c>
      <c r="B1494" s="7">
        <v>45811</v>
      </c>
      <c r="C1494" t="s">
        <v>1318</v>
      </c>
      <c r="D1494" t="s">
        <v>1183</v>
      </c>
      <c r="E1494">
        <v>5.93</v>
      </c>
      <c r="G1494">
        <v>2011</v>
      </c>
      <c r="I1494" t="str">
        <f>VLOOKUP(G1494,Kostenstellen!$A$1:$C$17,2,0)</f>
        <v>Elsner</v>
      </c>
    </row>
    <row r="1495" spans="1:9" x14ac:dyDescent="0.2">
      <c r="A1495">
        <v>6662</v>
      </c>
      <c r="B1495" s="7">
        <v>45811</v>
      </c>
      <c r="C1495" t="s">
        <v>1319</v>
      </c>
      <c r="D1495" t="s">
        <v>1183</v>
      </c>
      <c r="E1495">
        <v>8.23</v>
      </c>
      <c r="G1495">
        <v>2011</v>
      </c>
      <c r="I1495" t="str">
        <f>VLOOKUP(G1495,Kostenstellen!$A$1:$C$17,2,0)</f>
        <v>Elsner</v>
      </c>
    </row>
    <row r="1496" spans="1:9" x14ac:dyDescent="0.2">
      <c r="A1496">
        <v>6662</v>
      </c>
      <c r="B1496" s="7">
        <v>45812</v>
      </c>
      <c r="C1496" t="s">
        <v>1320</v>
      </c>
      <c r="D1496" t="s">
        <v>1183</v>
      </c>
      <c r="E1496">
        <v>7.4</v>
      </c>
      <c r="G1496">
        <v>2011</v>
      </c>
      <c r="I1496" t="str">
        <f>VLOOKUP(G1496,Kostenstellen!$A$1:$C$17,2,0)</f>
        <v>Elsner</v>
      </c>
    </row>
    <row r="1497" spans="1:9" x14ac:dyDescent="0.2">
      <c r="A1497">
        <v>6662</v>
      </c>
      <c r="B1497" s="7">
        <v>45812</v>
      </c>
      <c r="C1497" t="s">
        <v>1321</v>
      </c>
      <c r="D1497" t="s">
        <v>1183</v>
      </c>
      <c r="E1497">
        <v>71.989999999999995</v>
      </c>
      <c r="G1497">
        <v>2011</v>
      </c>
      <c r="I1497" t="str">
        <f>VLOOKUP(G1497,Kostenstellen!$A$1:$C$17,2,0)</f>
        <v>Elsner</v>
      </c>
    </row>
    <row r="1498" spans="1:9" x14ac:dyDescent="0.2">
      <c r="A1498">
        <v>6662</v>
      </c>
      <c r="B1498" s="7">
        <v>45812</v>
      </c>
      <c r="C1498" t="s">
        <v>1322</v>
      </c>
      <c r="D1498" t="s">
        <v>1183</v>
      </c>
      <c r="E1498">
        <v>48.66</v>
      </c>
      <c r="G1498">
        <v>2011</v>
      </c>
      <c r="I1498" t="str">
        <f>VLOOKUP(G1498,Kostenstellen!$A$1:$C$17,2,0)</f>
        <v>Elsner</v>
      </c>
    </row>
    <row r="1499" spans="1:9" x14ac:dyDescent="0.2">
      <c r="A1499">
        <v>6662</v>
      </c>
      <c r="B1499" s="7">
        <v>45813</v>
      </c>
      <c r="C1499" t="s">
        <v>1323</v>
      </c>
      <c r="D1499" t="s">
        <v>1183</v>
      </c>
      <c r="E1499">
        <v>44.27</v>
      </c>
      <c r="G1499">
        <v>2011</v>
      </c>
      <c r="I1499" t="str">
        <f>VLOOKUP(G1499,Kostenstellen!$A$1:$C$17,2,0)</f>
        <v>Elsner</v>
      </c>
    </row>
    <row r="1500" spans="1:9" x14ac:dyDescent="0.2">
      <c r="A1500">
        <v>6662</v>
      </c>
      <c r="B1500" s="7">
        <v>45820</v>
      </c>
      <c r="C1500" t="s">
        <v>1324</v>
      </c>
      <c r="D1500" t="s">
        <v>1291</v>
      </c>
      <c r="E1500">
        <v>36.130000000000003</v>
      </c>
      <c r="G1500">
        <v>2011</v>
      </c>
      <c r="I1500" t="str">
        <f>VLOOKUP(G1500,Kostenstellen!$A$1:$C$17,2,0)</f>
        <v>Elsner</v>
      </c>
    </row>
    <row r="1501" spans="1:9" x14ac:dyDescent="0.2">
      <c r="A1501">
        <v>6662</v>
      </c>
      <c r="B1501" s="7">
        <v>45820</v>
      </c>
      <c r="C1501" t="s">
        <v>1325</v>
      </c>
      <c r="D1501" t="s">
        <v>1291</v>
      </c>
      <c r="E1501">
        <v>93.86</v>
      </c>
      <c r="G1501">
        <v>2011</v>
      </c>
      <c r="I1501" t="str">
        <f>VLOOKUP(G1501,Kostenstellen!$A$1:$C$17,2,0)</f>
        <v>Elsner</v>
      </c>
    </row>
    <row r="1502" spans="1:9" x14ac:dyDescent="0.2">
      <c r="A1502">
        <v>6662</v>
      </c>
      <c r="B1502" s="7">
        <v>45820</v>
      </c>
      <c r="C1502" t="s">
        <v>1326</v>
      </c>
      <c r="D1502" t="s">
        <v>1291</v>
      </c>
      <c r="E1502">
        <v>62.62</v>
      </c>
      <c r="G1502">
        <v>2011</v>
      </c>
      <c r="I1502" t="str">
        <f>VLOOKUP(G1502,Kostenstellen!$A$1:$C$17,2,0)</f>
        <v>Elsner</v>
      </c>
    </row>
    <row r="1503" spans="1:9" x14ac:dyDescent="0.2">
      <c r="A1503">
        <v>6662</v>
      </c>
      <c r="B1503" s="7">
        <v>45831</v>
      </c>
      <c r="C1503" t="s">
        <v>1327</v>
      </c>
      <c r="D1503" t="s">
        <v>1282</v>
      </c>
      <c r="E1503">
        <v>11.14</v>
      </c>
      <c r="G1503">
        <v>2011</v>
      </c>
      <c r="I1503" t="str">
        <f>VLOOKUP(G1503,Kostenstellen!$A$1:$C$17,2,0)</f>
        <v>Elsner</v>
      </c>
    </row>
    <row r="1504" spans="1:9" x14ac:dyDescent="0.2">
      <c r="A1504">
        <v>6662</v>
      </c>
      <c r="B1504" s="7">
        <v>45832</v>
      </c>
      <c r="C1504" t="s">
        <v>1327</v>
      </c>
      <c r="D1504" t="s">
        <v>1282</v>
      </c>
      <c r="E1504">
        <v>13.83</v>
      </c>
      <c r="G1504">
        <v>2011</v>
      </c>
      <c r="I1504" t="str">
        <f>VLOOKUP(G1504,Kostenstellen!$A$1:$C$17,2,0)</f>
        <v>Elsner</v>
      </c>
    </row>
    <row r="1505" spans="1:9" x14ac:dyDescent="0.2">
      <c r="A1505">
        <v>6662</v>
      </c>
      <c r="B1505" s="7">
        <v>45833</v>
      </c>
      <c r="C1505" t="s">
        <v>1328</v>
      </c>
      <c r="D1505" t="s">
        <v>1282</v>
      </c>
      <c r="E1505">
        <v>63.03</v>
      </c>
      <c r="G1505">
        <v>2011</v>
      </c>
      <c r="I1505" t="str">
        <f>VLOOKUP(G1505,Kostenstellen!$A$1:$C$17,2,0)</f>
        <v>Elsner</v>
      </c>
    </row>
    <row r="1506" spans="1:9" x14ac:dyDescent="0.2">
      <c r="A1506">
        <v>6662</v>
      </c>
      <c r="B1506" s="7">
        <v>45907</v>
      </c>
      <c r="C1506" t="s">
        <v>1329</v>
      </c>
      <c r="D1506" t="s">
        <v>1307</v>
      </c>
      <c r="E1506">
        <v>70</v>
      </c>
      <c r="G1506">
        <v>2011</v>
      </c>
      <c r="I1506" t="str">
        <f>VLOOKUP(G1506,Kostenstellen!$A$1:$C$17,2,0)</f>
        <v>Elsner</v>
      </c>
    </row>
    <row r="1507" spans="1:9" x14ac:dyDescent="0.2">
      <c r="A1507">
        <v>6662</v>
      </c>
      <c r="B1507" s="7">
        <v>45907</v>
      </c>
      <c r="C1507" t="s">
        <v>1330</v>
      </c>
      <c r="D1507" t="s">
        <v>1307</v>
      </c>
      <c r="E1507">
        <v>211.79</v>
      </c>
      <c r="G1507">
        <v>2011</v>
      </c>
      <c r="I1507" t="str">
        <f>VLOOKUP(G1507,Kostenstellen!$A$1:$C$17,2,0)</f>
        <v>Elsner</v>
      </c>
    </row>
    <row r="1508" spans="1:9" x14ac:dyDescent="0.2">
      <c r="A1508">
        <v>6662</v>
      </c>
      <c r="B1508" s="7">
        <v>45908</v>
      </c>
      <c r="C1508" t="s">
        <v>1331</v>
      </c>
      <c r="D1508" t="s">
        <v>1307</v>
      </c>
      <c r="E1508">
        <v>94.62</v>
      </c>
      <c r="G1508">
        <v>2011</v>
      </c>
      <c r="I1508" t="str">
        <f>VLOOKUP(G1508,Kostenstellen!$A$1:$C$17,2,0)</f>
        <v>Elsner</v>
      </c>
    </row>
    <row r="1509" spans="1:9" x14ac:dyDescent="0.2">
      <c r="A1509">
        <v>6662</v>
      </c>
      <c r="B1509" s="7">
        <v>45909</v>
      </c>
      <c r="C1509" t="s">
        <v>1331</v>
      </c>
      <c r="D1509" t="s">
        <v>1307</v>
      </c>
      <c r="E1509">
        <v>88.95</v>
      </c>
      <c r="G1509">
        <v>2011</v>
      </c>
      <c r="I1509" t="str">
        <f>VLOOKUP(G1509,Kostenstellen!$A$1:$C$17,2,0)</f>
        <v>Elsner</v>
      </c>
    </row>
    <row r="1510" spans="1:9" x14ac:dyDescent="0.2">
      <c r="A1510">
        <v>6662</v>
      </c>
      <c r="B1510" s="7">
        <v>45909</v>
      </c>
      <c r="C1510" t="s">
        <v>1332</v>
      </c>
      <c r="D1510" t="s">
        <v>1307</v>
      </c>
      <c r="E1510">
        <v>139.36000000000001</v>
      </c>
      <c r="G1510">
        <v>2011</v>
      </c>
      <c r="I1510" t="str">
        <f>VLOOKUP(G1510,Kostenstellen!$A$1:$C$17,2,0)</f>
        <v>Elsner</v>
      </c>
    </row>
    <row r="1511" spans="1:9" x14ac:dyDescent="0.2">
      <c r="A1511">
        <v>6662</v>
      </c>
      <c r="B1511" s="7">
        <v>45909</v>
      </c>
      <c r="C1511" t="s">
        <v>1333</v>
      </c>
      <c r="D1511" t="s">
        <v>1307</v>
      </c>
      <c r="E1511">
        <v>70</v>
      </c>
      <c r="G1511">
        <v>2011</v>
      </c>
      <c r="I1511" t="str">
        <f>VLOOKUP(G1511,Kostenstellen!$A$1:$C$17,2,0)</f>
        <v>Elsner</v>
      </c>
    </row>
    <row r="1512" spans="1:9" x14ac:dyDescent="0.2">
      <c r="A1512">
        <v>6662</v>
      </c>
      <c r="B1512" s="7">
        <v>45922</v>
      </c>
      <c r="C1512" t="s">
        <v>1334</v>
      </c>
      <c r="D1512" t="s">
        <v>1309</v>
      </c>
      <c r="E1512">
        <v>40.340000000000003</v>
      </c>
      <c r="G1512">
        <v>2011</v>
      </c>
      <c r="I1512" t="str">
        <f>VLOOKUP(G1512,Kostenstellen!$A$1:$C$17,2,0)</f>
        <v>Elsner</v>
      </c>
    </row>
    <row r="1513" spans="1:9" x14ac:dyDescent="0.2">
      <c r="A1513">
        <v>6662</v>
      </c>
      <c r="B1513" s="7">
        <v>45924</v>
      </c>
      <c r="C1513" t="s">
        <v>1335</v>
      </c>
      <c r="D1513" t="s">
        <v>1309</v>
      </c>
      <c r="E1513">
        <v>13.45</v>
      </c>
      <c r="G1513">
        <v>2011</v>
      </c>
      <c r="I1513" t="str">
        <f>VLOOKUP(G1513,Kostenstellen!$A$1:$C$17,2,0)</f>
        <v>Elsner</v>
      </c>
    </row>
    <row r="1514" spans="1:9" x14ac:dyDescent="0.2">
      <c r="A1514">
        <v>6662</v>
      </c>
      <c r="B1514" s="7">
        <v>45931</v>
      </c>
      <c r="C1514" t="s">
        <v>1336</v>
      </c>
      <c r="D1514" t="s">
        <v>1313</v>
      </c>
      <c r="E1514">
        <v>12.61</v>
      </c>
      <c r="G1514">
        <v>2011</v>
      </c>
      <c r="I1514" t="str">
        <f>VLOOKUP(G1514,Kostenstellen!$A$1:$C$17,2,0)</f>
        <v>Elsner</v>
      </c>
    </row>
    <row r="1515" spans="1:9" x14ac:dyDescent="0.2">
      <c r="A1515">
        <v>6662</v>
      </c>
      <c r="B1515" s="7">
        <v>45932</v>
      </c>
      <c r="C1515" t="s">
        <v>1336</v>
      </c>
      <c r="D1515" t="s">
        <v>1313</v>
      </c>
      <c r="E1515">
        <v>12.61</v>
      </c>
      <c r="G1515">
        <v>2011</v>
      </c>
      <c r="I1515" t="str">
        <f>VLOOKUP(G1515,Kostenstellen!$A$1:$C$17,2,0)</f>
        <v>Elsner</v>
      </c>
    </row>
    <row r="1516" spans="1:9" x14ac:dyDescent="0.2">
      <c r="A1516">
        <v>6662</v>
      </c>
      <c r="B1516" s="7">
        <v>45932</v>
      </c>
      <c r="C1516" t="s">
        <v>1337</v>
      </c>
      <c r="D1516" t="s">
        <v>1313</v>
      </c>
      <c r="E1516">
        <v>65.55</v>
      </c>
      <c r="G1516">
        <v>2011</v>
      </c>
      <c r="I1516" t="str">
        <f>VLOOKUP(G1516,Kostenstellen!$A$1:$C$17,2,0)</f>
        <v>Elsner</v>
      </c>
    </row>
    <row r="1517" spans="1:9" x14ac:dyDescent="0.2">
      <c r="A1517">
        <v>6662</v>
      </c>
      <c r="B1517" s="7">
        <v>45958</v>
      </c>
      <c r="C1517" t="s">
        <v>1324</v>
      </c>
      <c r="D1517" t="s">
        <v>1293</v>
      </c>
      <c r="E1517">
        <v>35.29</v>
      </c>
      <c r="G1517">
        <v>2011</v>
      </c>
      <c r="I1517" t="str">
        <f>VLOOKUP(G1517,Kostenstellen!$A$1:$C$17,2,0)</f>
        <v>Elsner</v>
      </c>
    </row>
    <row r="1518" spans="1:9" x14ac:dyDescent="0.2">
      <c r="A1518">
        <v>6662</v>
      </c>
      <c r="B1518" s="7">
        <v>45958</v>
      </c>
      <c r="C1518" t="s">
        <v>1338</v>
      </c>
      <c r="D1518" t="s">
        <v>1293</v>
      </c>
      <c r="E1518">
        <v>44.27</v>
      </c>
      <c r="G1518">
        <v>2011</v>
      </c>
      <c r="I1518" t="str">
        <f>VLOOKUP(G1518,Kostenstellen!$A$1:$C$17,2,0)</f>
        <v>Elsner</v>
      </c>
    </row>
    <row r="1519" spans="1:9" x14ac:dyDescent="0.2">
      <c r="A1519">
        <v>6662</v>
      </c>
      <c r="B1519" s="7">
        <v>45958</v>
      </c>
      <c r="C1519" t="s">
        <v>1339</v>
      </c>
      <c r="D1519" t="s">
        <v>1293</v>
      </c>
      <c r="E1519">
        <v>60.24</v>
      </c>
      <c r="G1519">
        <v>2011</v>
      </c>
      <c r="I1519" t="str">
        <f>VLOOKUP(G1519,Kostenstellen!$A$1:$C$17,2,0)</f>
        <v>Elsner</v>
      </c>
    </row>
    <row r="1520" spans="1:9" x14ac:dyDescent="0.2">
      <c r="A1520">
        <v>6662</v>
      </c>
      <c r="B1520" s="7">
        <v>45958</v>
      </c>
      <c r="C1520" t="s">
        <v>1340</v>
      </c>
      <c r="D1520" t="s">
        <v>1293</v>
      </c>
      <c r="E1520">
        <v>29.68</v>
      </c>
      <c r="G1520">
        <v>2011</v>
      </c>
      <c r="I1520" t="str">
        <f>VLOOKUP(G1520,Kostenstellen!$A$1:$C$17,2,0)</f>
        <v>Elsner</v>
      </c>
    </row>
    <row r="1521" spans="1:9" x14ac:dyDescent="0.2">
      <c r="A1521">
        <v>6662</v>
      </c>
      <c r="B1521" s="7">
        <v>45958</v>
      </c>
      <c r="C1521" t="s">
        <v>1341</v>
      </c>
      <c r="D1521" t="s">
        <v>1293</v>
      </c>
      <c r="E1521">
        <v>4.2</v>
      </c>
      <c r="G1521">
        <v>2011</v>
      </c>
      <c r="I1521" t="str">
        <f>VLOOKUP(G1521,Kostenstellen!$A$1:$C$17,2,0)</f>
        <v>Elsner</v>
      </c>
    </row>
    <row r="1522" spans="1:9" x14ac:dyDescent="0.2">
      <c r="A1522">
        <v>6662</v>
      </c>
      <c r="B1522" s="7">
        <v>45959</v>
      </c>
      <c r="C1522" t="s">
        <v>1342</v>
      </c>
      <c r="D1522" t="s">
        <v>1293</v>
      </c>
      <c r="E1522">
        <v>8.4</v>
      </c>
      <c r="G1522">
        <v>2011</v>
      </c>
      <c r="I1522" t="str">
        <f>VLOOKUP(G1522,Kostenstellen!$A$1:$C$17,2,0)</f>
        <v>Elsner</v>
      </c>
    </row>
    <row r="1523" spans="1:9" x14ac:dyDescent="0.2">
      <c r="A1523">
        <v>6663</v>
      </c>
      <c r="B1523" s="7">
        <v>45812</v>
      </c>
      <c r="C1523" t="s">
        <v>1343</v>
      </c>
      <c r="D1523" t="s">
        <v>1183</v>
      </c>
      <c r="E1523">
        <v>90.84</v>
      </c>
      <c r="G1523">
        <v>2011</v>
      </c>
      <c r="I1523" t="str">
        <f>VLOOKUP(G1523,Kostenstellen!$A$1:$C$17,2,0)</f>
        <v>Elsner</v>
      </c>
    </row>
    <row r="1524" spans="1:9" x14ac:dyDescent="0.2">
      <c r="A1524">
        <v>6663</v>
      </c>
      <c r="B1524" s="7">
        <v>45831</v>
      </c>
      <c r="C1524" t="s">
        <v>1344</v>
      </c>
      <c r="D1524" t="s">
        <v>1282</v>
      </c>
      <c r="E1524">
        <v>3.55</v>
      </c>
      <c r="G1524">
        <v>2011</v>
      </c>
      <c r="I1524" t="str">
        <f>VLOOKUP(G1524,Kostenstellen!$A$1:$C$17,2,0)</f>
        <v>Elsner</v>
      </c>
    </row>
    <row r="1525" spans="1:9" x14ac:dyDescent="0.2">
      <c r="A1525">
        <v>6663</v>
      </c>
      <c r="B1525" s="7">
        <v>45967</v>
      </c>
      <c r="C1525" t="s">
        <v>1345</v>
      </c>
      <c r="D1525" t="s">
        <v>1346</v>
      </c>
      <c r="E1525">
        <v>54.21</v>
      </c>
      <c r="G1525">
        <v>2012</v>
      </c>
      <c r="I1525" t="str">
        <f>VLOOKUP(G1525,Kostenstellen!$A$1:$C$17,2,0)</f>
        <v>Weingartz</v>
      </c>
    </row>
    <row r="1526" spans="1:9" x14ac:dyDescent="0.2">
      <c r="A1526">
        <v>6664</v>
      </c>
      <c r="B1526" s="7">
        <v>45710</v>
      </c>
      <c r="C1526" t="s">
        <v>1347</v>
      </c>
      <c r="D1526" t="s">
        <v>1279</v>
      </c>
      <c r="E1526">
        <v>56</v>
      </c>
      <c r="G1526">
        <v>2011</v>
      </c>
      <c r="I1526" t="str">
        <f>VLOOKUP(G1526,Kostenstellen!$A$1:$C$17,2,0)</f>
        <v>Elsner</v>
      </c>
    </row>
    <row r="1527" spans="1:9" x14ac:dyDescent="0.2">
      <c r="A1527">
        <v>6664</v>
      </c>
      <c r="B1527" s="7">
        <v>45710</v>
      </c>
      <c r="C1527" t="s">
        <v>1348</v>
      </c>
      <c r="D1527" t="s">
        <v>1279</v>
      </c>
      <c r="F1527">
        <v>33.6</v>
      </c>
      <c r="G1527">
        <v>2011</v>
      </c>
      <c r="I1527" t="str">
        <f>VLOOKUP(G1527,Kostenstellen!$A$1:$C$17,2,0)</f>
        <v>Elsner</v>
      </c>
    </row>
    <row r="1528" spans="1:9" x14ac:dyDescent="0.2">
      <c r="A1528">
        <v>6664</v>
      </c>
      <c r="B1528" s="7">
        <v>45813</v>
      </c>
      <c r="C1528" t="s">
        <v>1349</v>
      </c>
      <c r="D1528" t="s">
        <v>1183</v>
      </c>
      <c r="E1528">
        <v>14</v>
      </c>
      <c r="G1528">
        <v>2011</v>
      </c>
      <c r="I1528" t="str">
        <f>VLOOKUP(G1528,Kostenstellen!$A$1:$C$17,2,0)</f>
        <v>Elsner</v>
      </c>
    </row>
    <row r="1529" spans="1:9" x14ac:dyDescent="0.2">
      <c r="A1529">
        <v>6664</v>
      </c>
      <c r="B1529" s="7">
        <v>45813</v>
      </c>
      <c r="C1529" t="s">
        <v>1350</v>
      </c>
      <c r="D1529" t="s">
        <v>1183</v>
      </c>
      <c r="E1529">
        <v>52</v>
      </c>
      <c r="G1529">
        <v>2011</v>
      </c>
      <c r="I1529" t="str">
        <f>VLOOKUP(G1529,Kostenstellen!$A$1:$C$17,2,0)</f>
        <v>Elsner</v>
      </c>
    </row>
    <row r="1530" spans="1:9" x14ac:dyDescent="0.2">
      <c r="A1530">
        <v>6664</v>
      </c>
      <c r="B1530" s="7">
        <v>45813</v>
      </c>
      <c r="C1530" t="s">
        <v>1350</v>
      </c>
      <c r="D1530" t="s">
        <v>1183</v>
      </c>
      <c r="E1530">
        <v>87</v>
      </c>
      <c r="G1530">
        <v>2011</v>
      </c>
      <c r="I1530" t="str">
        <f>VLOOKUP(G1530,Kostenstellen!$A$1:$C$17,2,0)</f>
        <v>Elsner</v>
      </c>
    </row>
    <row r="1531" spans="1:9" x14ac:dyDescent="0.2">
      <c r="A1531">
        <v>6664</v>
      </c>
      <c r="B1531" s="7">
        <v>45813</v>
      </c>
      <c r="C1531" t="s">
        <v>1351</v>
      </c>
      <c r="D1531" t="s">
        <v>1183</v>
      </c>
      <c r="F1531">
        <v>14</v>
      </c>
      <c r="G1531">
        <v>2011</v>
      </c>
      <c r="I1531" t="str">
        <f>VLOOKUP(G1531,Kostenstellen!$A$1:$C$17,2,0)</f>
        <v>Elsner</v>
      </c>
    </row>
    <row r="1532" spans="1:9" x14ac:dyDescent="0.2">
      <c r="A1532">
        <v>6664</v>
      </c>
      <c r="B1532" s="7">
        <v>45813</v>
      </c>
      <c r="C1532" t="s">
        <v>1351</v>
      </c>
      <c r="D1532" t="s">
        <v>1183</v>
      </c>
      <c r="F1532">
        <v>31.2</v>
      </c>
      <c r="G1532">
        <v>2011</v>
      </c>
      <c r="I1532" t="str">
        <f>VLOOKUP(G1532,Kostenstellen!$A$1:$C$17,2,0)</f>
        <v>Elsner</v>
      </c>
    </row>
    <row r="1533" spans="1:9" x14ac:dyDescent="0.2">
      <c r="A1533">
        <v>6664</v>
      </c>
      <c r="B1533" s="7">
        <v>45813</v>
      </c>
      <c r="C1533" t="s">
        <v>1351</v>
      </c>
      <c r="D1533" t="s">
        <v>1183</v>
      </c>
      <c r="F1533">
        <v>31.2</v>
      </c>
      <c r="G1533">
        <v>2011</v>
      </c>
      <c r="I1533" t="str">
        <f>VLOOKUP(G1533,Kostenstellen!$A$1:$C$17,2,0)</f>
        <v>Elsner</v>
      </c>
    </row>
    <row r="1534" spans="1:9" x14ac:dyDescent="0.2">
      <c r="A1534">
        <v>6664</v>
      </c>
      <c r="B1534" s="7">
        <v>45820</v>
      </c>
      <c r="C1534" t="s">
        <v>1352</v>
      </c>
      <c r="D1534" t="s">
        <v>1291</v>
      </c>
      <c r="E1534">
        <v>14</v>
      </c>
      <c r="G1534">
        <v>2011</v>
      </c>
      <c r="I1534" t="str">
        <f>VLOOKUP(G1534,Kostenstellen!$A$1:$C$17,2,0)</f>
        <v>Elsner</v>
      </c>
    </row>
    <row r="1535" spans="1:9" x14ac:dyDescent="0.2">
      <c r="A1535">
        <v>6664</v>
      </c>
      <c r="B1535" s="7">
        <v>45833</v>
      </c>
      <c r="C1535" t="s">
        <v>1352</v>
      </c>
      <c r="D1535" t="s">
        <v>1282</v>
      </c>
      <c r="E1535">
        <v>84</v>
      </c>
      <c r="G1535">
        <v>2011</v>
      </c>
      <c r="I1535" t="str">
        <f>VLOOKUP(G1535,Kostenstellen!$A$1:$C$17,2,0)</f>
        <v>Elsner</v>
      </c>
    </row>
    <row r="1536" spans="1:9" x14ac:dyDescent="0.2">
      <c r="A1536">
        <v>6664</v>
      </c>
      <c r="B1536" s="7">
        <v>45833</v>
      </c>
      <c r="C1536" t="s">
        <v>1353</v>
      </c>
      <c r="D1536" t="s">
        <v>1282</v>
      </c>
      <c r="F1536">
        <v>84</v>
      </c>
      <c r="G1536">
        <v>2011</v>
      </c>
      <c r="I1536" t="str">
        <f>VLOOKUP(G1536,Kostenstellen!$A$1:$C$17,2,0)</f>
        <v>Elsner</v>
      </c>
    </row>
    <row r="1537" spans="1:9" x14ac:dyDescent="0.2">
      <c r="A1537">
        <v>6664</v>
      </c>
      <c r="B1537" s="7">
        <v>45899</v>
      </c>
      <c r="C1537" t="s">
        <v>1354</v>
      </c>
      <c r="D1537" t="s">
        <v>1304</v>
      </c>
      <c r="E1537">
        <v>28</v>
      </c>
      <c r="G1537">
        <v>2011</v>
      </c>
      <c r="I1537" t="str">
        <f>VLOOKUP(G1537,Kostenstellen!$A$1:$C$17,2,0)</f>
        <v>Elsner</v>
      </c>
    </row>
    <row r="1538" spans="1:9" x14ac:dyDescent="0.2">
      <c r="A1538">
        <v>6664</v>
      </c>
      <c r="B1538" s="7">
        <v>45899</v>
      </c>
      <c r="C1538" t="s">
        <v>1355</v>
      </c>
      <c r="D1538" t="s">
        <v>1304</v>
      </c>
      <c r="F1538">
        <v>11.2</v>
      </c>
      <c r="G1538">
        <v>2011</v>
      </c>
      <c r="I1538" t="str">
        <f>VLOOKUP(G1538,Kostenstellen!$A$1:$C$17,2,0)</f>
        <v>Elsner</v>
      </c>
    </row>
    <row r="1539" spans="1:9" x14ac:dyDescent="0.2">
      <c r="A1539">
        <v>6664</v>
      </c>
      <c r="B1539" s="7">
        <v>45909</v>
      </c>
      <c r="C1539" t="s">
        <v>1356</v>
      </c>
      <c r="D1539" t="s">
        <v>1307</v>
      </c>
      <c r="E1539">
        <v>66</v>
      </c>
      <c r="G1539">
        <v>2011</v>
      </c>
      <c r="I1539" t="str">
        <f>VLOOKUP(G1539,Kostenstellen!$A$1:$C$17,2,0)</f>
        <v>Elsner</v>
      </c>
    </row>
    <row r="1540" spans="1:9" x14ac:dyDescent="0.2">
      <c r="A1540">
        <v>6664</v>
      </c>
      <c r="B1540" s="7">
        <v>45909</v>
      </c>
      <c r="C1540" t="s">
        <v>1357</v>
      </c>
      <c r="D1540" t="s">
        <v>1307</v>
      </c>
      <c r="F1540">
        <v>39.6</v>
      </c>
      <c r="G1540">
        <v>2011</v>
      </c>
      <c r="I1540" t="str">
        <f>VLOOKUP(G1540,Kostenstellen!$A$1:$C$17,2,0)</f>
        <v>Elsner</v>
      </c>
    </row>
    <row r="1541" spans="1:9" x14ac:dyDescent="0.2">
      <c r="A1541">
        <v>6664</v>
      </c>
      <c r="B1541" s="7">
        <v>45925</v>
      </c>
      <c r="C1541" t="s">
        <v>1358</v>
      </c>
      <c r="D1541" t="s">
        <v>1309</v>
      </c>
      <c r="E1541">
        <v>84</v>
      </c>
      <c r="G1541">
        <v>2011</v>
      </c>
      <c r="I1541" t="str">
        <f>VLOOKUP(G1541,Kostenstellen!$A$1:$C$17,2,0)</f>
        <v>Elsner</v>
      </c>
    </row>
    <row r="1542" spans="1:9" x14ac:dyDescent="0.2">
      <c r="A1542">
        <v>6664</v>
      </c>
      <c r="B1542" s="7">
        <v>45925</v>
      </c>
      <c r="C1542" t="s">
        <v>1359</v>
      </c>
      <c r="D1542" t="s">
        <v>1309</v>
      </c>
      <c r="F1542">
        <v>61.6</v>
      </c>
      <c r="G1542">
        <v>2011</v>
      </c>
      <c r="I1542" t="str">
        <f>VLOOKUP(G1542,Kostenstellen!$A$1:$C$17,2,0)</f>
        <v>Elsner</v>
      </c>
    </row>
    <row r="1543" spans="1:9" x14ac:dyDescent="0.2">
      <c r="A1543">
        <v>6664</v>
      </c>
      <c r="B1543" s="7">
        <v>45932</v>
      </c>
      <c r="C1543" t="s">
        <v>1360</v>
      </c>
      <c r="D1543" t="s">
        <v>1313</v>
      </c>
      <c r="E1543">
        <v>56</v>
      </c>
      <c r="G1543">
        <v>2011</v>
      </c>
      <c r="I1543" t="str">
        <f>VLOOKUP(G1543,Kostenstellen!$A$1:$C$17,2,0)</f>
        <v>Elsner</v>
      </c>
    </row>
    <row r="1544" spans="1:9" x14ac:dyDescent="0.2">
      <c r="A1544">
        <v>6664</v>
      </c>
      <c r="B1544" s="7">
        <v>45932</v>
      </c>
      <c r="C1544" t="s">
        <v>1361</v>
      </c>
      <c r="D1544" t="s">
        <v>1313</v>
      </c>
      <c r="F1544">
        <v>16.8</v>
      </c>
      <c r="G1544">
        <v>2011</v>
      </c>
      <c r="I1544" t="str">
        <f>VLOOKUP(G1544,Kostenstellen!$A$1:$C$17,2,0)</f>
        <v>Elsner</v>
      </c>
    </row>
    <row r="1545" spans="1:9" x14ac:dyDescent="0.2">
      <c r="A1545">
        <v>6780</v>
      </c>
      <c r="B1545" s="7">
        <v>45689</v>
      </c>
      <c r="C1545" t="s">
        <v>1362</v>
      </c>
      <c r="D1545" t="s">
        <v>1363</v>
      </c>
      <c r="E1545" s="6">
        <v>3000</v>
      </c>
      <c r="G1545">
        <v>230</v>
      </c>
      <c r="H1545" s="7">
        <v>45688</v>
      </c>
      <c r="I1545" t="str">
        <f>VLOOKUP(G1545,Kostenstellen!$A$1:$C$17,2,0)</f>
        <v>Sales</v>
      </c>
    </row>
    <row r="1546" spans="1:9" x14ac:dyDescent="0.2">
      <c r="A1546">
        <v>6780</v>
      </c>
      <c r="B1546" s="7">
        <v>45689</v>
      </c>
      <c r="C1546" t="s">
        <v>1364</v>
      </c>
      <c r="D1546" t="s">
        <v>16</v>
      </c>
      <c r="E1546" s="6">
        <v>3280</v>
      </c>
      <c r="G1546">
        <v>230</v>
      </c>
      <c r="H1546" s="7">
        <v>45688</v>
      </c>
      <c r="I1546" t="str">
        <f>VLOOKUP(G1546,Kostenstellen!$A$1:$C$17,2,0)</f>
        <v>Sales</v>
      </c>
    </row>
    <row r="1547" spans="1:9" x14ac:dyDescent="0.2">
      <c r="A1547">
        <v>6780</v>
      </c>
      <c r="B1547" s="7">
        <v>45689</v>
      </c>
      <c r="C1547" t="s">
        <v>1365</v>
      </c>
      <c r="D1547" t="s">
        <v>1366</v>
      </c>
      <c r="E1547" s="6">
        <v>4000</v>
      </c>
      <c r="G1547">
        <v>230</v>
      </c>
      <c r="H1547" s="7">
        <v>45688</v>
      </c>
      <c r="I1547" t="str">
        <f>VLOOKUP(G1547,Kostenstellen!$A$1:$C$17,2,0)</f>
        <v>Sales</v>
      </c>
    </row>
    <row r="1548" spans="1:9" x14ac:dyDescent="0.2">
      <c r="A1548">
        <v>6780</v>
      </c>
      <c r="B1548" s="7">
        <v>45689</v>
      </c>
      <c r="C1548" t="s">
        <v>1367</v>
      </c>
      <c r="D1548" t="s">
        <v>1368</v>
      </c>
      <c r="E1548" s="6">
        <v>3400</v>
      </c>
      <c r="G1548">
        <v>230</v>
      </c>
      <c r="H1548" s="7">
        <v>45688</v>
      </c>
      <c r="I1548" t="str">
        <f>VLOOKUP(G1548,Kostenstellen!$A$1:$C$17,2,0)</f>
        <v>Sales</v>
      </c>
    </row>
    <row r="1549" spans="1:9" x14ac:dyDescent="0.2">
      <c r="A1549">
        <v>6780</v>
      </c>
      <c r="B1549" s="7">
        <v>45692</v>
      </c>
      <c r="C1549" t="s">
        <v>1369</v>
      </c>
      <c r="D1549" t="s">
        <v>1370</v>
      </c>
      <c r="E1549">
        <v>650</v>
      </c>
      <c r="G1549">
        <v>230</v>
      </c>
      <c r="H1549" s="7">
        <v>45688</v>
      </c>
      <c r="I1549" t="str">
        <f>VLOOKUP(G1549,Kostenstellen!$A$1:$C$17,2,0)</f>
        <v>Sales</v>
      </c>
    </row>
    <row r="1550" spans="1:9" x14ac:dyDescent="0.2">
      <c r="A1550">
        <v>6780</v>
      </c>
      <c r="B1550" s="7">
        <v>45716</v>
      </c>
      <c r="C1550" t="s">
        <v>1371</v>
      </c>
      <c r="D1550">
        <v>17</v>
      </c>
      <c r="E1550" s="6">
        <v>4000</v>
      </c>
      <c r="G1550">
        <v>230</v>
      </c>
      <c r="I1550" t="str">
        <f>VLOOKUP(G1550,Kostenstellen!$A$1:$C$17,2,0)</f>
        <v>Sales</v>
      </c>
    </row>
    <row r="1551" spans="1:9" x14ac:dyDescent="0.2">
      <c r="A1551">
        <v>6780</v>
      </c>
      <c r="B1551" s="7">
        <v>45717</v>
      </c>
      <c r="C1551" t="s">
        <v>1372</v>
      </c>
      <c r="D1551" t="s">
        <v>1373</v>
      </c>
      <c r="E1551" s="6">
        <v>3263</v>
      </c>
      <c r="G1551">
        <v>230</v>
      </c>
      <c r="H1551" s="7">
        <v>45689</v>
      </c>
      <c r="I1551" t="str">
        <f>VLOOKUP(G1551,Kostenstellen!$A$1:$C$17,2,0)</f>
        <v>Sales</v>
      </c>
    </row>
    <row r="1552" spans="1:9" x14ac:dyDescent="0.2">
      <c r="A1552">
        <v>6780</v>
      </c>
      <c r="B1552" s="7">
        <v>45717</v>
      </c>
      <c r="C1552" t="s">
        <v>1374</v>
      </c>
      <c r="D1552" t="s">
        <v>48</v>
      </c>
      <c r="E1552" s="6">
        <v>3947.12</v>
      </c>
      <c r="G1552">
        <v>230</v>
      </c>
      <c r="H1552" s="7">
        <v>45716</v>
      </c>
      <c r="I1552" t="str">
        <f>VLOOKUP(G1552,Kostenstellen!$A$1:$C$17,2,0)</f>
        <v>Sales</v>
      </c>
    </row>
    <row r="1553" spans="1:9" x14ac:dyDescent="0.2">
      <c r="A1553">
        <v>6780</v>
      </c>
      <c r="B1553" s="7">
        <v>45717</v>
      </c>
      <c r="C1553" t="s">
        <v>1375</v>
      </c>
      <c r="D1553" t="s">
        <v>1376</v>
      </c>
      <c r="E1553" s="6">
        <v>3400</v>
      </c>
      <c r="G1553">
        <v>230</v>
      </c>
      <c r="H1553" s="7">
        <v>45716</v>
      </c>
      <c r="I1553" t="str">
        <f>VLOOKUP(G1553,Kostenstellen!$A$1:$C$17,2,0)</f>
        <v>Sales</v>
      </c>
    </row>
    <row r="1554" spans="1:9" x14ac:dyDescent="0.2">
      <c r="A1554">
        <v>6780</v>
      </c>
      <c r="B1554" s="7">
        <v>45719</v>
      </c>
      <c r="C1554" t="s">
        <v>1377</v>
      </c>
      <c r="D1554" t="s">
        <v>1378</v>
      </c>
      <c r="E1554" s="6">
        <v>3663.64</v>
      </c>
      <c r="G1554">
        <v>230</v>
      </c>
      <c r="H1554" s="7">
        <v>45689</v>
      </c>
      <c r="I1554" t="str">
        <f>VLOOKUP(G1554,Kostenstellen!$A$1:$C$17,2,0)</f>
        <v>Sales</v>
      </c>
    </row>
    <row r="1555" spans="1:9" x14ac:dyDescent="0.2">
      <c r="A1555">
        <v>6780</v>
      </c>
      <c r="B1555" s="7">
        <v>45720</v>
      </c>
      <c r="C1555" t="s">
        <v>1379</v>
      </c>
      <c r="D1555" t="s">
        <v>1380</v>
      </c>
      <c r="E1555">
        <v>650</v>
      </c>
      <c r="G1555">
        <v>230</v>
      </c>
      <c r="I1555" t="str">
        <f>VLOOKUP(G1555,Kostenstellen!$A$1:$C$17,2,0)</f>
        <v>Sales</v>
      </c>
    </row>
    <row r="1556" spans="1:9" x14ac:dyDescent="0.2">
      <c r="A1556">
        <v>6780</v>
      </c>
      <c r="B1556" s="7">
        <v>45748</v>
      </c>
      <c r="C1556" t="s">
        <v>1381</v>
      </c>
      <c r="D1556" t="s">
        <v>1382</v>
      </c>
      <c r="E1556">
        <v>325</v>
      </c>
      <c r="G1556">
        <v>230</v>
      </c>
      <c r="I1556" t="str">
        <f>VLOOKUP(G1556,Kostenstellen!$A$1:$C$17,2,0)</f>
        <v>Sales</v>
      </c>
    </row>
    <row r="1557" spans="1:9" x14ac:dyDescent="0.2">
      <c r="A1557">
        <v>6780</v>
      </c>
      <c r="B1557" s="7">
        <v>45748</v>
      </c>
      <c r="C1557" t="s">
        <v>1383</v>
      </c>
      <c r="D1557" t="s">
        <v>1384</v>
      </c>
      <c r="E1557" s="6">
        <v>4072.8</v>
      </c>
      <c r="G1557">
        <v>230</v>
      </c>
      <c r="H1557" s="7">
        <v>45717</v>
      </c>
      <c r="I1557" t="str">
        <f>VLOOKUP(G1557,Kostenstellen!$A$1:$C$17,2,0)</f>
        <v>Sales</v>
      </c>
    </row>
    <row r="1558" spans="1:9" x14ac:dyDescent="0.2">
      <c r="A1558">
        <v>6780</v>
      </c>
      <c r="B1558" s="7">
        <v>45748</v>
      </c>
      <c r="C1558" t="s">
        <v>1385</v>
      </c>
      <c r="D1558" t="s">
        <v>1386</v>
      </c>
      <c r="E1558" s="6">
        <v>5860</v>
      </c>
      <c r="G1558">
        <v>230</v>
      </c>
      <c r="H1558" s="7">
        <v>45717</v>
      </c>
      <c r="I1558" t="str">
        <f>VLOOKUP(G1558,Kostenstellen!$A$1:$C$17,2,0)</f>
        <v>Sales</v>
      </c>
    </row>
    <row r="1559" spans="1:9" x14ac:dyDescent="0.2">
      <c r="A1559">
        <v>6780</v>
      </c>
      <c r="B1559" s="7">
        <v>45748</v>
      </c>
      <c r="C1559" t="s">
        <v>1387</v>
      </c>
      <c r="D1559" t="s">
        <v>78</v>
      </c>
      <c r="E1559" s="6">
        <v>3771.68</v>
      </c>
      <c r="G1559">
        <v>230</v>
      </c>
      <c r="H1559" s="7">
        <v>45717</v>
      </c>
      <c r="I1559" t="str">
        <f>VLOOKUP(G1559,Kostenstellen!$A$1:$C$17,2,0)</f>
        <v>Sales</v>
      </c>
    </row>
    <row r="1560" spans="1:9" x14ac:dyDescent="0.2">
      <c r="A1560">
        <v>6780</v>
      </c>
      <c r="B1560" s="7">
        <v>45748</v>
      </c>
      <c r="C1560" t="s">
        <v>1388</v>
      </c>
      <c r="D1560" t="s">
        <v>1389</v>
      </c>
      <c r="E1560" s="6">
        <v>3047.61</v>
      </c>
      <c r="G1560">
        <v>230</v>
      </c>
      <c r="H1560" s="7">
        <v>45717</v>
      </c>
      <c r="I1560" t="str">
        <f>VLOOKUP(G1560,Kostenstellen!$A$1:$C$17,2,0)</f>
        <v>Sales</v>
      </c>
    </row>
    <row r="1561" spans="1:9" x14ac:dyDescent="0.2">
      <c r="A1561">
        <v>6780</v>
      </c>
      <c r="B1561" s="7">
        <v>45748</v>
      </c>
      <c r="C1561" t="s">
        <v>1390</v>
      </c>
      <c r="D1561" t="s">
        <v>1391</v>
      </c>
      <c r="E1561" s="6">
        <v>4000</v>
      </c>
      <c r="G1561">
        <v>230</v>
      </c>
      <c r="H1561" s="7">
        <v>45717</v>
      </c>
      <c r="I1561" t="str">
        <f>VLOOKUP(G1561,Kostenstellen!$A$1:$C$17,2,0)</f>
        <v>Sales</v>
      </c>
    </row>
    <row r="1562" spans="1:9" x14ac:dyDescent="0.2">
      <c r="A1562">
        <v>6780</v>
      </c>
      <c r="B1562" s="7">
        <v>45748</v>
      </c>
      <c r="C1562" t="s">
        <v>1392</v>
      </c>
      <c r="D1562" t="s">
        <v>1393</v>
      </c>
      <c r="E1562" s="6">
        <v>3400</v>
      </c>
      <c r="G1562">
        <v>230</v>
      </c>
      <c r="H1562" s="7">
        <v>45717</v>
      </c>
      <c r="I1562" t="str">
        <f>VLOOKUP(G1562,Kostenstellen!$A$1:$C$17,2,0)</f>
        <v>Sales</v>
      </c>
    </row>
    <row r="1563" spans="1:9" x14ac:dyDescent="0.2">
      <c r="A1563">
        <v>6780</v>
      </c>
      <c r="B1563" s="7">
        <v>45748</v>
      </c>
      <c r="C1563" t="s">
        <v>1394</v>
      </c>
      <c r="D1563" t="s">
        <v>1395</v>
      </c>
      <c r="E1563" s="6">
        <v>3100</v>
      </c>
      <c r="G1563">
        <v>230</v>
      </c>
      <c r="H1563" s="7">
        <v>45717</v>
      </c>
      <c r="I1563" t="str">
        <f>VLOOKUP(G1563,Kostenstellen!$A$1:$C$17,2,0)</f>
        <v>Sales</v>
      </c>
    </row>
    <row r="1564" spans="1:9" x14ac:dyDescent="0.2">
      <c r="A1564">
        <v>6780</v>
      </c>
      <c r="B1564" s="7">
        <v>45778</v>
      </c>
      <c r="C1564" t="s">
        <v>1396</v>
      </c>
      <c r="D1564" t="s">
        <v>1397</v>
      </c>
      <c r="E1564" s="6">
        <v>4424</v>
      </c>
      <c r="G1564">
        <v>230</v>
      </c>
      <c r="H1564" s="7">
        <v>45748</v>
      </c>
      <c r="I1564" t="str">
        <f>VLOOKUP(G1564,Kostenstellen!$A$1:$C$17,2,0)</f>
        <v>Sales</v>
      </c>
    </row>
    <row r="1565" spans="1:9" x14ac:dyDescent="0.2">
      <c r="A1565">
        <v>6780</v>
      </c>
      <c r="B1565" s="7">
        <v>45778</v>
      </c>
      <c r="C1565" t="s">
        <v>1398</v>
      </c>
      <c r="D1565" t="s">
        <v>1399</v>
      </c>
      <c r="E1565" s="6">
        <v>5500</v>
      </c>
      <c r="G1565">
        <v>230</v>
      </c>
      <c r="H1565" s="7">
        <v>45748</v>
      </c>
      <c r="I1565" t="str">
        <f>VLOOKUP(G1565,Kostenstellen!$A$1:$C$17,2,0)</f>
        <v>Sales</v>
      </c>
    </row>
    <row r="1566" spans="1:9" x14ac:dyDescent="0.2">
      <c r="A1566">
        <v>6780</v>
      </c>
      <c r="B1566" s="7">
        <v>45778</v>
      </c>
      <c r="C1566" t="s">
        <v>1400</v>
      </c>
      <c r="D1566" t="s">
        <v>107</v>
      </c>
      <c r="E1566" s="6">
        <v>4271.5600000000004</v>
      </c>
      <c r="G1566">
        <v>230</v>
      </c>
      <c r="H1566" s="7">
        <v>45748</v>
      </c>
      <c r="I1566" t="str">
        <f>VLOOKUP(G1566,Kostenstellen!$A$1:$C$17,2,0)</f>
        <v>Sales</v>
      </c>
    </row>
    <row r="1567" spans="1:9" x14ac:dyDescent="0.2">
      <c r="A1567">
        <v>6780</v>
      </c>
      <c r="B1567" s="7">
        <v>45778</v>
      </c>
      <c r="C1567" t="s">
        <v>1401</v>
      </c>
      <c r="D1567" t="s">
        <v>1402</v>
      </c>
      <c r="E1567" s="6">
        <v>4000</v>
      </c>
      <c r="G1567">
        <v>230</v>
      </c>
      <c r="H1567" s="7">
        <v>45748</v>
      </c>
      <c r="I1567" t="str">
        <f>VLOOKUP(G1567,Kostenstellen!$A$1:$C$17,2,0)</f>
        <v>Sales</v>
      </c>
    </row>
    <row r="1568" spans="1:9" x14ac:dyDescent="0.2">
      <c r="A1568">
        <v>6780</v>
      </c>
      <c r="B1568" s="7">
        <v>45778</v>
      </c>
      <c r="C1568" t="s">
        <v>1403</v>
      </c>
      <c r="D1568" t="s">
        <v>1404</v>
      </c>
      <c r="E1568" s="6">
        <v>4000</v>
      </c>
      <c r="G1568">
        <v>230</v>
      </c>
      <c r="H1568" s="7">
        <v>45748</v>
      </c>
      <c r="I1568" t="str">
        <f>VLOOKUP(G1568,Kostenstellen!$A$1:$C$17,2,0)</f>
        <v>Sales</v>
      </c>
    </row>
    <row r="1569" spans="1:9" x14ac:dyDescent="0.2">
      <c r="A1569">
        <v>6780</v>
      </c>
      <c r="B1569" s="7">
        <v>45778</v>
      </c>
      <c r="C1569" t="s">
        <v>1405</v>
      </c>
      <c r="D1569" t="s">
        <v>1406</v>
      </c>
      <c r="E1569" s="6">
        <v>3400</v>
      </c>
      <c r="G1569">
        <v>230</v>
      </c>
      <c r="H1569" s="7">
        <v>45748</v>
      </c>
      <c r="I1569" t="str">
        <f>VLOOKUP(G1569,Kostenstellen!$A$1:$C$17,2,0)</f>
        <v>Sales</v>
      </c>
    </row>
    <row r="1570" spans="1:9" x14ac:dyDescent="0.2">
      <c r="A1570">
        <v>6780</v>
      </c>
      <c r="B1570" s="7">
        <v>45778</v>
      </c>
      <c r="C1570" t="s">
        <v>1407</v>
      </c>
      <c r="D1570" t="s">
        <v>1408</v>
      </c>
      <c r="E1570" s="6">
        <v>3100</v>
      </c>
      <c r="G1570">
        <v>230</v>
      </c>
      <c r="H1570" s="7">
        <v>45748</v>
      </c>
      <c r="I1570" t="str">
        <f>VLOOKUP(G1570,Kostenstellen!$A$1:$C$17,2,0)</f>
        <v>Sales</v>
      </c>
    </row>
    <row r="1571" spans="1:9" x14ac:dyDescent="0.2">
      <c r="A1571">
        <v>6780</v>
      </c>
      <c r="B1571" s="7">
        <v>45809</v>
      </c>
      <c r="C1571" t="s">
        <v>1409</v>
      </c>
      <c r="D1571" t="s">
        <v>1410</v>
      </c>
      <c r="E1571" s="6">
        <v>3338</v>
      </c>
      <c r="G1571">
        <v>230</v>
      </c>
      <c r="H1571" s="7">
        <v>45778</v>
      </c>
      <c r="I1571" t="str">
        <f>VLOOKUP(G1571,Kostenstellen!$A$1:$C$17,2,0)</f>
        <v>Sales</v>
      </c>
    </row>
    <row r="1572" spans="1:9" x14ac:dyDescent="0.2">
      <c r="A1572">
        <v>6780</v>
      </c>
      <c r="B1572" s="7">
        <v>45809</v>
      </c>
      <c r="C1572" t="s">
        <v>1411</v>
      </c>
      <c r="D1572" t="s">
        <v>1412</v>
      </c>
      <c r="E1572" s="6">
        <v>5500</v>
      </c>
      <c r="G1572">
        <v>230</v>
      </c>
      <c r="H1572" s="7">
        <v>45808</v>
      </c>
      <c r="I1572" t="str">
        <f>VLOOKUP(G1572,Kostenstellen!$A$1:$C$17,2,0)</f>
        <v>Sales</v>
      </c>
    </row>
    <row r="1573" spans="1:9" x14ac:dyDescent="0.2">
      <c r="A1573">
        <v>6780</v>
      </c>
      <c r="B1573" s="7">
        <v>45809</v>
      </c>
      <c r="C1573" t="s">
        <v>1413</v>
      </c>
      <c r="D1573" t="s">
        <v>1414</v>
      </c>
      <c r="E1573" s="6">
        <v>3325</v>
      </c>
      <c r="G1573">
        <v>230</v>
      </c>
      <c r="H1573" s="7">
        <v>45778</v>
      </c>
      <c r="I1573" t="str">
        <f>VLOOKUP(G1573,Kostenstellen!$A$1:$C$17,2,0)</f>
        <v>Sales</v>
      </c>
    </row>
    <row r="1574" spans="1:9" x14ac:dyDescent="0.2">
      <c r="A1574">
        <v>6780</v>
      </c>
      <c r="B1574" s="7">
        <v>45809</v>
      </c>
      <c r="C1574" t="s">
        <v>1415</v>
      </c>
      <c r="D1574" t="s">
        <v>134</v>
      </c>
      <c r="E1574" s="6">
        <v>3605.68</v>
      </c>
      <c r="G1574">
        <v>230</v>
      </c>
      <c r="H1574" s="7">
        <v>45808</v>
      </c>
      <c r="I1574" t="str">
        <f>VLOOKUP(G1574,Kostenstellen!$A$1:$C$17,2,0)</f>
        <v>Sales</v>
      </c>
    </row>
    <row r="1575" spans="1:9" x14ac:dyDescent="0.2">
      <c r="A1575">
        <v>6780</v>
      </c>
      <c r="B1575" s="7">
        <v>45809</v>
      </c>
      <c r="C1575" t="s">
        <v>1416</v>
      </c>
      <c r="D1575" t="s">
        <v>1417</v>
      </c>
      <c r="E1575" s="6">
        <v>4000</v>
      </c>
      <c r="G1575">
        <v>230</v>
      </c>
      <c r="H1575" s="7">
        <v>45808</v>
      </c>
      <c r="I1575" t="str">
        <f>VLOOKUP(G1575,Kostenstellen!$A$1:$C$17,2,0)</f>
        <v>Sales</v>
      </c>
    </row>
    <row r="1576" spans="1:9" x14ac:dyDescent="0.2">
      <c r="A1576">
        <v>6780</v>
      </c>
      <c r="B1576" s="7">
        <v>45809</v>
      </c>
      <c r="C1576" t="s">
        <v>1418</v>
      </c>
      <c r="D1576" t="s">
        <v>1419</v>
      </c>
      <c r="E1576" s="6">
        <v>3500</v>
      </c>
      <c r="G1576">
        <v>230</v>
      </c>
      <c r="H1576" s="7">
        <v>45808</v>
      </c>
      <c r="I1576" t="str">
        <f>VLOOKUP(G1576,Kostenstellen!$A$1:$C$17,2,0)</f>
        <v>Sales</v>
      </c>
    </row>
    <row r="1577" spans="1:9" x14ac:dyDescent="0.2">
      <c r="A1577">
        <v>6780</v>
      </c>
      <c r="B1577" s="7">
        <v>45809</v>
      </c>
      <c r="C1577" t="s">
        <v>1420</v>
      </c>
      <c r="D1577" t="s">
        <v>1421</v>
      </c>
      <c r="E1577" s="6">
        <v>3100</v>
      </c>
      <c r="G1577">
        <v>230</v>
      </c>
      <c r="H1577" s="7">
        <v>45778</v>
      </c>
      <c r="I1577" t="str">
        <f>VLOOKUP(G1577,Kostenstellen!$A$1:$C$17,2,0)</f>
        <v>Sales</v>
      </c>
    </row>
    <row r="1578" spans="1:9" x14ac:dyDescent="0.2">
      <c r="A1578">
        <v>6780</v>
      </c>
      <c r="B1578" s="7">
        <v>45810</v>
      </c>
      <c r="C1578" t="s">
        <v>1422</v>
      </c>
      <c r="D1578" t="s">
        <v>1414</v>
      </c>
      <c r="E1578" s="6">
        <v>3325</v>
      </c>
      <c r="G1578">
        <v>230</v>
      </c>
      <c r="H1578" s="7">
        <v>45778</v>
      </c>
      <c r="I1578" t="str">
        <f>VLOOKUP(G1578,Kostenstellen!$A$1:$C$17,2,0)</f>
        <v>Sales</v>
      </c>
    </row>
    <row r="1579" spans="1:9" x14ac:dyDescent="0.2">
      <c r="A1579">
        <v>6780</v>
      </c>
      <c r="B1579" s="7">
        <v>45839</v>
      </c>
      <c r="C1579" t="s">
        <v>1423</v>
      </c>
      <c r="D1579" t="s">
        <v>1424</v>
      </c>
      <c r="E1579" s="6">
        <v>4515.3</v>
      </c>
      <c r="G1579">
        <v>230</v>
      </c>
      <c r="H1579" s="7">
        <v>45838</v>
      </c>
      <c r="I1579" t="str">
        <f>VLOOKUP(G1579,Kostenstellen!$A$1:$C$17,2,0)</f>
        <v>Sales</v>
      </c>
    </row>
    <row r="1580" spans="1:9" x14ac:dyDescent="0.2">
      <c r="A1580">
        <v>6780</v>
      </c>
      <c r="B1580" s="7">
        <v>45839</v>
      </c>
      <c r="C1580" t="s">
        <v>1425</v>
      </c>
      <c r="D1580" t="s">
        <v>1426</v>
      </c>
      <c r="E1580" s="6">
        <v>5500</v>
      </c>
      <c r="G1580">
        <v>230</v>
      </c>
      <c r="H1580" s="7">
        <v>45838</v>
      </c>
      <c r="I1580" t="str">
        <f>VLOOKUP(G1580,Kostenstellen!$A$1:$C$17,2,0)</f>
        <v>Sales</v>
      </c>
    </row>
    <row r="1581" spans="1:9" x14ac:dyDescent="0.2">
      <c r="A1581">
        <v>6780</v>
      </c>
      <c r="B1581" s="7">
        <v>45839</v>
      </c>
      <c r="C1581" t="s">
        <v>1427</v>
      </c>
      <c r="D1581" t="s">
        <v>165</v>
      </c>
      <c r="E1581" s="6">
        <v>2923.6</v>
      </c>
      <c r="G1581">
        <v>230</v>
      </c>
      <c r="H1581" s="7">
        <v>45838</v>
      </c>
      <c r="I1581" t="str">
        <f>VLOOKUP(G1581,Kostenstellen!$A$1:$C$17,2,0)</f>
        <v>Sales</v>
      </c>
    </row>
    <row r="1582" spans="1:9" x14ac:dyDescent="0.2">
      <c r="A1582">
        <v>6780</v>
      </c>
      <c r="B1582" s="7">
        <v>45839</v>
      </c>
      <c r="C1582" t="s">
        <v>1428</v>
      </c>
      <c r="D1582" t="s">
        <v>1429</v>
      </c>
      <c r="E1582" s="6">
        <v>3500</v>
      </c>
      <c r="G1582">
        <v>230</v>
      </c>
      <c r="H1582" s="7">
        <v>45838</v>
      </c>
      <c r="I1582" t="str">
        <f>VLOOKUP(G1582,Kostenstellen!$A$1:$C$17,2,0)</f>
        <v>Sales</v>
      </c>
    </row>
    <row r="1583" spans="1:9" x14ac:dyDescent="0.2">
      <c r="A1583">
        <v>6780</v>
      </c>
      <c r="B1583" s="7">
        <v>45839</v>
      </c>
      <c r="C1583" t="s">
        <v>1430</v>
      </c>
      <c r="D1583" t="s">
        <v>1431</v>
      </c>
      <c r="E1583" s="6">
        <v>4000</v>
      </c>
      <c r="G1583">
        <v>230</v>
      </c>
      <c r="H1583" s="7">
        <v>45838</v>
      </c>
      <c r="I1583" t="str">
        <f>VLOOKUP(G1583,Kostenstellen!$A$1:$C$17,2,0)</f>
        <v>Sales</v>
      </c>
    </row>
    <row r="1584" spans="1:9" x14ac:dyDescent="0.2">
      <c r="A1584">
        <v>6780</v>
      </c>
      <c r="B1584" s="7">
        <v>45839</v>
      </c>
      <c r="C1584" t="s">
        <v>1432</v>
      </c>
      <c r="D1584" t="s">
        <v>1433</v>
      </c>
      <c r="E1584" s="6">
        <v>3500</v>
      </c>
      <c r="G1584">
        <v>230</v>
      </c>
      <c r="H1584" s="7">
        <v>45838</v>
      </c>
      <c r="I1584" t="str">
        <f>VLOOKUP(G1584,Kostenstellen!$A$1:$C$17,2,0)</f>
        <v>Sales</v>
      </c>
    </row>
    <row r="1585" spans="1:9" x14ac:dyDescent="0.2">
      <c r="A1585">
        <v>6780</v>
      </c>
      <c r="B1585" s="7">
        <v>45839</v>
      </c>
      <c r="C1585" t="s">
        <v>1434</v>
      </c>
      <c r="D1585" t="s">
        <v>1435</v>
      </c>
      <c r="E1585" s="6">
        <v>3100</v>
      </c>
      <c r="G1585">
        <v>230</v>
      </c>
      <c r="H1585" s="7">
        <v>45838</v>
      </c>
      <c r="I1585" t="str">
        <f>VLOOKUP(G1585,Kostenstellen!$A$1:$C$17,2,0)</f>
        <v>Sales</v>
      </c>
    </row>
    <row r="1586" spans="1:9" x14ac:dyDescent="0.2">
      <c r="A1586">
        <v>6780</v>
      </c>
      <c r="B1586" s="7">
        <v>45839</v>
      </c>
      <c r="C1586" t="s">
        <v>1436</v>
      </c>
      <c r="D1586" t="s">
        <v>1437</v>
      </c>
      <c r="E1586" s="6">
        <v>3500</v>
      </c>
      <c r="G1586">
        <v>230</v>
      </c>
      <c r="H1586" s="7">
        <v>45838</v>
      </c>
      <c r="I1586" t="str">
        <f>VLOOKUP(G1586,Kostenstellen!$A$1:$C$17,2,0)</f>
        <v>Sales</v>
      </c>
    </row>
    <row r="1587" spans="1:9" x14ac:dyDescent="0.2">
      <c r="A1587">
        <v>6780</v>
      </c>
      <c r="B1587" s="7">
        <v>45870</v>
      </c>
      <c r="C1587" t="s">
        <v>1438</v>
      </c>
      <c r="D1587" t="s">
        <v>1439</v>
      </c>
      <c r="E1587" s="6">
        <v>4014.45</v>
      </c>
      <c r="G1587">
        <v>230</v>
      </c>
      <c r="H1587" s="7">
        <v>45839</v>
      </c>
      <c r="I1587" t="str">
        <f>VLOOKUP(G1587,Kostenstellen!$A$1:$C$17,2,0)</f>
        <v>Sales</v>
      </c>
    </row>
    <row r="1588" spans="1:9" x14ac:dyDescent="0.2">
      <c r="A1588">
        <v>6780</v>
      </c>
      <c r="B1588" s="7">
        <v>45870</v>
      </c>
      <c r="C1588" t="s">
        <v>1440</v>
      </c>
      <c r="D1588" t="s">
        <v>1441</v>
      </c>
      <c r="E1588" s="6">
        <v>5500</v>
      </c>
      <c r="G1588">
        <v>230</v>
      </c>
      <c r="H1588" s="7">
        <v>45869</v>
      </c>
      <c r="I1588" t="str">
        <f>VLOOKUP(G1588,Kostenstellen!$A$1:$C$17,2,0)</f>
        <v>Sales</v>
      </c>
    </row>
    <row r="1589" spans="1:9" x14ac:dyDescent="0.2">
      <c r="A1589">
        <v>6780</v>
      </c>
      <c r="B1589" s="7">
        <v>45870</v>
      </c>
      <c r="C1589" t="s">
        <v>1442</v>
      </c>
      <c r="D1589" t="s">
        <v>194</v>
      </c>
      <c r="E1589" s="6">
        <v>3797.84</v>
      </c>
      <c r="G1589">
        <v>230</v>
      </c>
      <c r="H1589" s="7">
        <v>45869</v>
      </c>
      <c r="I1589" t="str">
        <f>VLOOKUP(G1589,Kostenstellen!$A$1:$C$17,2,0)</f>
        <v>Sales</v>
      </c>
    </row>
    <row r="1590" spans="1:9" x14ac:dyDescent="0.2">
      <c r="A1590">
        <v>6780</v>
      </c>
      <c r="B1590" s="7">
        <v>45870</v>
      </c>
      <c r="C1590" t="s">
        <v>1443</v>
      </c>
      <c r="D1590" t="s">
        <v>1444</v>
      </c>
      <c r="E1590" s="6">
        <v>2031</v>
      </c>
      <c r="G1590">
        <v>230</v>
      </c>
      <c r="H1590" s="7">
        <v>45839</v>
      </c>
      <c r="I1590" t="str">
        <f>VLOOKUP(G1590,Kostenstellen!$A$1:$C$17,2,0)</f>
        <v>Sales</v>
      </c>
    </row>
    <row r="1591" spans="1:9" x14ac:dyDescent="0.2">
      <c r="A1591">
        <v>6780</v>
      </c>
      <c r="B1591" s="7">
        <v>45870</v>
      </c>
      <c r="C1591" t="s">
        <v>1445</v>
      </c>
      <c r="D1591" t="s">
        <v>1446</v>
      </c>
      <c r="E1591" s="6">
        <v>3500</v>
      </c>
      <c r="G1591">
        <v>230</v>
      </c>
      <c r="H1591" s="7">
        <v>45869</v>
      </c>
      <c r="I1591" t="str">
        <f>VLOOKUP(G1591,Kostenstellen!$A$1:$C$17,2,0)</f>
        <v>Sales</v>
      </c>
    </row>
    <row r="1592" spans="1:9" x14ac:dyDescent="0.2">
      <c r="A1592">
        <v>6780</v>
      </c>
      <c r="B1592" s="7">
        <v>45870</v>
      </c>
      <c r="C1592" t="s">
        <v>1447</v>
      </c>
      <c r="D1592" t="s">
        <v>1448</v>
      </c>
      <c r="E1592" s="6">
        <v>4374.8</v>
      </c>
      <c r="G1592">
        <v>230</v>
      </c>
      <c r="H1592" s="7">
        <v>45869</v>
      </c>
      <c r="I1592" t="str">
        <f>VLOOKUP(G1592,Kostenstellen!$A$1:$C$17,2,0)</f>
        <v>Sales</v>
      </c>
    </row>
    <row r="1593" spans="1:9" x14ac:dyDescent="0.2">
      <c r="A1593">
        <v>6780</v>
      </c>
      <c r="B1593" s="7">
        <v>45870</v>
      </c>
      <c r="C1593" t="s">
        <v>1449</v>
      </c>
      <c r="D1593" t="s">
        <v>1450</v>
      </c>
      <c r="E1593" s="6">
        <v>3600</v>
      </c>
      <c r="G1593">
        <v>230</v>
      </c>
      <c r="H1593" s="7">
        <v>45839</v>
      </c>
      <c r="I1593" t="str">
        <f>VLOOKUP(G1593,Kostenstellen!$A$1:$C$17,2,0)</f>
        <v>Sales</v>
      </c>
    </row>
    <row r="1594" spans="1:9" x14ac:dyDescent="0.2">
      <c r="A1594">
        <v>6780</v>
      </c>
      <c r="B1594" s="7">
        <v>45870</v>
      </c>
      <c r="C1594" t="s">
        <v>1451</v>
      </c>
      <c r="D1594" t="s">
        <v>1452</v>
      </c>
      <c r="E1594" s="6">
        <v>3500</v>
      </c>
      <c r="G1594">
        <v>230</v>
      </c>
      <c r="H1594" s="7">
        <v>45869</v>
      </c>
      <c r="I1594" t="str">
        <f>VLOOKUP(G1594,Kostenstellen!$A$1:$C$17,2,0)</f>
        <v>Sales</v>
      </c>
    </row>
    <row r="1595" spans="1:9" x14ac:dyDescent="0.2">
      <c r="A1595">
        <v>6780</v>
      </c>
      <c r="B1595" s="7">
        <v>45901</v>
      </c>
      <c r="C1595" t="s">
        <v>1453</v>
      </c>
      <c r="D1595" t="s">
        <v>1454</v>
      </c>
      <c r="E1595" s="6">
        <v>3000</v>
      </c>
      <c r="G1595">
        <v>230</v>
      </c>
      <c r="H1595" s="7">
        <v>45870</v>
      </c>
      <c r="I1595" t="str">
        <f>VLOOKUP(G1595,Kostenstellen!$A$1:$C$17,2,0)</f>
        <v>Sales</v>
      </c>
    </row>
    <row r="1596" spans="1:9" x14ac:dyDescent="0.2">
      <c r="A1596">
        <v>6780</v>
      </c>
      <c r="B1596" s="7">
        <v>45901</v>
      </c>
      <c r="C1596" t="s">
        <v>1440</v>
      </c>
      <c r="D1596" t="s">
        <v>1455</v>
      </c>
      <c r="E1596" s="6">
        <v>5500</v>
      </c>
      <c r="G1596">
        <v>230</v>
      </c>
      <c r="H1596" s="7">
        <v>45899</v>
      </c>
      <c r="I1596" t="str">
        <f>VLOOKUP(G1596,Kostenstellen!$A$1:$C$17,2,0)</f>
        <v>Sales</v>
      </c>
    </row>
    <row r="1597" spans="1:9" x14ac:dyDescent="0.2">
      <c r="A1597">
        <v>6780</v>
      </c>
      <c r="B1597" s="7">
        <v>45901</v>
      </c>
      <c r="C1597" t="s">
        <v>1456</v>
      </c>
      <c r="D1597" t="s">
        <v>1457</v>
      </c>
      <c r="E1597" s="6">
        <v>3667.24</v>
      </c>
      <c r="G1597">
        <v>230</v>
      </c>
      <c r="H1597" s="7">
        <v>45870</v>
      </c>
      <c r="I1597" t="str">
        <f>VLOOKUP(G1597,Kostenstellen!$A$1:$C$17,2,0)</f>
        <v>Sales</v>
      </c>
    </row>
    <row r="1598" spans="1:9" x14ac:dyDescent="0.2">
      <c r="A1598">
        <v>6780</v>
      </c>
      <c r="B1598" s="7">
        <v>45901</v>
      </c>
      <c r="C1598" t="s">
        <v>1458</v>
      </c>
      <c r="D1598" t="s">
        <v>1457</v>
      </c>
      <c r="E1598" s="6">
        <v>3600.8</v>
      </c>
      <c r="G1598">
        <v>230</v>
      </c>
      <c r="H1598" s="7">
        <v>45870</v>
      </c>
      <c r="I1598" t="str">
        <f>VLOOKUP(G1598,Kostenstellen!$A$1:$C$17,2,0)</f>
        <v>Sales</v>
      </c>
    </row>
    <row r="1599" spans="1:9" x14ac:dyDescent="0.2">
      <c r="A1599">
        <v>6780</v>
      </c>
      <c r="B1599" s="7">
        <v>45901</v>
      </c>
      <c r="C1599" t="s">
        <v>1459</v>
      </c>
      <c r="D1599" t="s">
        <v>228</v>
      </c>
      <c r="E1599" s="6">
        <v>3136</v>
      </c>
      <c r="G1599">
        <v>230</v>
      </c>
      <c r="H1599" s="7">
        <v>45899</v>
      </c>
      <c r="I1599" t="str">
        <f>VLOOKUP(G1599,Kostenstellen!$A$1:$C$17,2,0)</f>
        <v>Sales</v>
      </c>
    </row>
    <row r="1600" spans="1:9" x14ac:dyDescent="0.2">
      <c r="A1600">
        <v>6780</v>
      </c>
      <c r="B1600" s="7">
        <v>45901</v>
      </c>
      <c r="C1600" t="s">
        <v>1460</v>
      </c>
      <c r="D1600" t="s">
        <v>1461</v>
      </c>
      <c r="E1600" s="6">
        <v>3931.48</v>
      </c>
      <c r="G1600">
        <v>230</v>
      </c>
      <c r="H1600" s="7">
        <v>45899</v>
      </c>
      <c r="I1600" t="str">
        <f>VLOOKUP(G1600,Kostenstellen!$A$1:$C$17,2,0)</f>
        <v>Sales</v>
      </c>
    </row>
    <row r="1601" spans="1:9" x14ac:dyDescent="0.2">
      <c r="A1601">
        <v>6780</v>
      </c>
      <c r="B1601" s="7">
        <v>45901</v>
      </c>
      <c r="C1601" t="s">
        <v>1462</v>
      </c>
      <c r="D1601" t="s">
        <v>1463</v>
      </c>
      <c r="E1601" s="6">
        <v>3500</v>
      </c>
      <c r="G1601">
        <v>230</v>
      </c>
      <c r="H1601" s="7">
        <v>45900</v>
      </c>
      <c r="I1601" t="str">
        <f>VLOOKUP(G1601,Kostenstellen!$A$1:$C$17,2,0)</f>
        <v>Sales</v>
      </c>
    </row>
    <row r="1602" spans="1:9" x14ac:dyDescent="0.2">
      <c r="A1602">
        <v>6780</v>
      </c>
      <c r="B1602" s="7">
        <v>45931</v>
      </c>
      <c r="C1602" t="s">
        <v>1464</v>
      </c>
      <c r="D1602" t="s">
        <v>1465</v>
      </c>
      <c r="E1602" s="6">
        <v>6376.6</v>
      </c>
      <c r="G1602">
        <v>230</v>
      </c>
      <c r="H1602" s="7">
        <v>45901</v>
      </c>
      <c r="I1602" t="str">
        <f>VLOOKUP(G1602,Kostenstellen!$A$1:$C$17,2,0)</f>
        <v>Sales</v>
      </c>
    </row>
    <row r="1603" spans="1:9" x14ac:dyDescent="0.2">
      <c r="A1603">
        <v>6780</v>
      </c>
      <c r="B1603" s="7">
        <v>45931</v>
      </c>
      <c r="C1603" t="s">
        <v>1466</v>
      </c>
      <c r="D1603" t="s">
        <v>1467</v>
      </c>
      <c r="E1603" s="6">
        <v>5500</v>
      </c>
      <c r="G1603">
        <v>230</v>
      </c>
      <c r="H1603" s="7">
        <v>45930</v>
      </c>
      <c r="I1603" t="str">
        <f>VLOOKUP(G1603,Kostenstellen!$A$1:$C$17,2,0)</f>
        <v>Sales</v>
      </c>
    </row>
    <row r="1604" spans="1:9" x14ac:dyDescent="0.2">
      <c r="A1604">
        <v>6780</v>
      </c>
      <c r="B1604" s="7">
        <v>45931</v>
      </c>
      <c r="C1604" t="s">
        <v>1468</v>
      </c>
      <c r="D1604" t="s">
        <v>258</v>
      </c>
      <c r="E1604" s="6">
        <v>3219.52</v>
      </c>
      <c r="G1604">
        <v>230</v>
      </c>
      <c r="H1604" s="7">
        <v>45930</v>
      </c>
      <c r="I1604" t="str">
        <f>VLOOKUP(G1604,Kostenstellen!$A$1:$C$17,2,0)</f>
        <v>Sales</v>
      </c>
    </row>
    <row r="1605" spans="1:9" x14ac:dyDescent="0.2">
      <c r="A1605">
        <v>6780</v>
      </c>
      <c r="B1605" s="7">
        <v>45931</v>
      </c>
      <c r="C1605" t="s">
        <v>1469</v>
      </c>
      <c r="D1605" t="s">
        <v>1470</v>
      </c>
      <c r="E1605" s="6">
        <v>3956.9</v>
      </c>
      <c r="G1605">
        <v>230</v>
      </c>
      <c r="H1605" s="7">
        <v>45930</v>
      </c>
      <c r="I1605" t="str">
        <f>VLOOKUP(G1605,Kostenstellen!$A$1:$C$17,2,0)</f>
        <v>Sales</v>
      </c>
    </row>
    <row r="1606" spans="1:9" x14ac:dyDescent="0.2">
      <c r="A1606">
        <v>6780</v>
      </c>
      <c r="B1606" s="7">
        <v>45931</v>
      </c>
      <c r="C1606" t="s">
        <v>1471</v>
      </c>
      <c r="D1606" t="s">
        <v>1472</v>
      </c>
      <c r="E1606" s="6">
        <v>4000</v>
      </c>
      <c r="G1606">
        <v>230</v>
      </c>
      <c r="H1606" s="7">
        <v>45901</v>
      </c>
      <c r="I1606" t="str">
        <f>VLOOKUP(G1606,Kostenstellen!$A$1:$C$17,2,0)</f>
        <v>Sales</v>
      </c>
    </row>
    <row r="1607" spans="1:9" x14ac:dyDescent="0.2">
      <c r="A1607">
        <v>6780</v>
      </c>
      <c r="B1607" s="7">
        <v>45931</v>
      </c>
      <c r="C1607" t="s">
        <v>1473</v>
      </c>
      <c r="D1607" t="s">
        <v>1474</v>
      </c>
      <c r="E1607" s="6">
        <v>3765.38</v>
      </c>
      <c r="G1607">
        <v>230</v>
      </c>
      <c r="H1607" s="7">
        <v>45930</v>
      </c>
      <c r="I1607" t="str">
        <f>VLOOKUP(G1607,Kostenstellen!$A$1:$C$17,2,0)</f>
        <v>Sales</v>
      </c>
    </row>
    <row r="1608" spans="1:9" x14ac:dyDescent="0.2">
      <c r="A1608">
        <v>6780</v>
      </c>
      <c r="B1608" s="7">
        <v>45932</v>
      </c>
      <c r="C1608" t="s">
        <v>1475</v>
      </c>
      <c r="D1608" t="s">
        <v>1476</v>
      </c>
      <c r="E1608" s="6">
        <v>3500</v>
      </c>
      <c r="G1608">
        <v>230</v>
      </c>
      <c r="H1608" s="7">
        <v>45930</v>
      </c>
      <c r="I1608" t="str">
        <f>VLOOKUP(G1608,Kostenstellen!$A$1:$C$17,2,0)</f>
        <v>Sales</v>
      </c>
    </row>
    <row r="1609" spans="1:9" x14ac:dyDescent="0.2">
      <c r="A1609">
        <v>6780</v>
      </c>
      <c r="B1609" s="7">
        <v>45962</v>
      </c>
      <c r="C1609" t="s">
        <v>1477</v>
      </c>
      <c r="D1609" t="s">
        <v>1478</v>
      </c>
      <c r="E1609" s="6">
        <v>5102.3999999999996</v>
      </c>
      <c r="G1609">
        <v>230</v>
      </c>
      <c r="H1609" s="7">
        <v>45960</v>
      </c>
      <c r="I1609" t="str">
        <f>VLOOKUP(G1609,Kostenstellen!$A$1:$C$17,2,0)</f>
        <v>Sales</v>
      </c>
    </row>
    <row r="1610" spans="1:9" x14ac:dyDescent="0.2">
      <c r="A1610">
        <v>6780</v>
      </c>
      <c r="B1610" s="7">
        <v>45962</v>
      </c>
      <c r="C1610" t="s">
        <v>1479</v>
      </c>
      <c r="D1610" t="s">
        <v>1480</v>
      </c>
      <c r="E1610" s="6">
        <v>5500</v>
      </c>
      <c r="G1610">
        <v>230</v>
      </c>
      <c r="H1610" s="7">
        <v>45960</v>
      </c>
      <c r="I1610" t="str">
        <f>VLOOKUP(G1610,Kostenstellen!$A$1:$C$17,2,0)</f>
        <v>Sales</v>
      </c>
    </row>
    <row r="1611" spans="1:9" x14ac:dyDescent="0.2">
      <c r="A1611">
        <v>6780</v>
      </c>
      <c r="B1611" s="7">
        <v>45962</v>
      </c>
      <c r="C1611" t="s">
        <v>1481</v>
      </c>
      <c r="D1611" t="s">
        <v>1482</v>
      </c>
      <c r="E1611" s="6">
        <v>2767.76</v>
      </c>
      <c r="G1611">
        <v>230</v>
      </c>
      <c r="H1611" s="7">
        <v>45960</v>
      </c>
      <c r="I1611" t="str">
        <f>VLOOKUP(G1611,Kostenstellen!$A$1:$C$17,2,0)</f>
        <v>Sales</v>
      </c>
    </row>
    <row r="1612" spans="1:9" x14ac:dyDescent="0.2">
      <c r="A1612">
        <v>6780</v>
      </c>
      <c r="B1612" s="7">
        <v>45962</v>
      </c>
      <c r="C1612" t="s">
        <v>1483</v>
      </c>
      <c r="D1612" t="s">
        <v>1484</v>
      </c>
      <c r="E1612" s="6">
        <v>4006.02</v>
      </c>
      <c r="G1612">
        <v>230</v>
      </c>
      <c r="H1612" s="7">
        <v>45960</v>
      </c>
      <c r="I1612" t="str">
        <f>VLOOKUP(G1612,Kostenstellen!$A$1:$C$17,2,0)</f>
        <v>Sales</v>
      </c>
    </row>
    <row r="1613" spans="1:9" x14ac:dyDescent="0.2">
      <c r="A1613">
        <v>6780</v>
      </c>
      <c r="B1613" s="7">
        <v>45962</v>
      </c>
      <c r="C1613" t="s">
        <v>1485</v>
      </c>
      <c r="D1613" t="s">
        <v>1486</v>
      </c>
      <c r="E1613" s="6">
        <v>3500</v>
      </c>
      <c r="G1613">
        <v>230</v>
      </c>
      <c r="H1613" s="7">
        <v>45931</v>
      </c>
      <c r="I1613" t="str">
        <f>VLOOKUP(G1613,Kostenstellen!$A$1:$C$17,2,0)</f>
        <v>Sales</v>
      </c>
    </row>
    <row r="1614" spans="1:9" x14ac:dyDescent="0.2">
      <c r="A1614">
        <v>6780</v>
      </c>
      <c r="B1614" s="7">
        <v>45962</v>
      </c>
      <c r="C1614" t="s">
        <v>1487</v>
      </c>
      <c r="D1614" t="s">
        <v>1488</v>
      </c>
      <c r="E1614" s="6">
        <v>3768.26</v>
      </c>
      <c r="G1614">
        <v>230</v>
      </c>
      <c r="H1614" s="7">
        <v>45960</v>
      </c>
      <c r="I1614" t="str">
        <f>VLOOKUP(G1614,Kostenstellen!$A$1:$C$17,2,0)</f>
        <v>Sales</v>
      </c>
    </row>
    <row r="1615" spans="1:9" x14ac:dyDescent="0.2">
      <c r="A1615">
        <v>6780</v>
      </c>
      <c r="B1615" s="7">
        <v>45964</v>
      </c>
      <c r="C1615" t="s">
        <v>1489</v>
      </c>
      <c r="D1615" t="s">
        <v>1490</v>
      </c>
      <c r="E1615" s="6">
        <v>5116.03</v>
      </c>
      <c r="G1615">
        <v>230</v>
      </c>
      <c r="H1615" s="7">
        <v>45960</v>
      </c>
      <c r="I1615" t="str">
        <f>VLOOKUP(G1615,Kostenstellen!$A$1:$C$17,2,0)</f>
        <v>Sales</v>
      </c>
    </row>
    <row r="1616" spans="1:9" x14ac:dyDescent="0.2">
      <c r="A1616">
        <v>6780</v>
      </c>
      <c r="B1616" s="7">
        <v>45992</v>
      </c>
      <c r="C1616" t="s">
        <v>1491</v>
      </c>
      <c r="D1616" t="s">
        <v>1492</v>
      </c>
      <c r="E1616" s="6">
        <v>4413</v>
      </c>
      <c r="G1616">
        <v>230</v>
      </c>
      <c r="H1616" s="7">
        <v>45962</v>
      </c>
      <c r="I1616" t="str">
        <f>VLOOKUP(G1616,Kostenstellen!$A$1:$C$17,2,0)</f>
        <v>Sales</v>
      </c>
    </row>
    <row r="1617" spans="1:9" x14ac:dyDescent="0.2">
      <c r="A1617">
        <v>6780</v>
      </c>
      <c r="B1617" s="7">
        <v>45992</v>
      </c>
      <c r="C1617" t="s">
        <v>1493</v>
      </c>
      <c r="D1617" t="s">
        <v>1494</v>
      </c>
      <c r="E1617" s="6">
        <v>5500</v>
      </c>
      <c r="G1617">
        <v>230</v>
      </c>
      <c r="H1617" s="7">
        <v>45962</v>
      </c>
      <c r="I1617" t="str">
        <f>VLOOKUP(G1617,Kostenstellen!$A$1:$C$17,2,0)</f>
        <v>Sales</v>
      </c>
    </row>
    <row r="1618" spans="1:9" x14ac:dyDescent="0.2">
      <c r="A1618">
        <v>6780</v>
      </c>
      <c r="B1618" s="7">
        <v>45992</v>
      </c>
      <c r="C1618" t="s">
        <v>1495</v>
      </c>
      <c r="D1618" t="s">
        <v>1496</v>
      </c>
      <c r="E1618" s="6">
        <v>3773.96</v>
      </c>
      <c r="G1618">
        <v>230</v>
      </c>
      <c r="H1618" s="7">
        <v>45962</v>
      </c>
      <c r="I1618" t="str">
        <f>VLOOKUP(G1618,Kostenstellen!$A$1:$C$17,2,0)</f>
        <v>Sales</v>
      </c>
    </row>
    <row r="1619" spans="1:9" x14ac:dyDescent="0.2">
      <c r="A1619">
        <v>6780</v>
      </c>
      <c r="B1619" s="7">
        <v>45992</v>
      </c>
      <c r="C1619" t="s">
        <v>1497</v>
      </c>
      <c r="D1619" t="s">
        <v>316</v>
      </c>
      <c r="E1619" s="6">
        <v>2608</v>
      </c>
      <c r="G1619">
        <v>230</v>
      </c>
      <c r="H1619" s="7">
        <v>45962</v>
      </c>
      <c r="I1619" t="str">
        <f>VLOOKUP(G1619,Kostenstellen!$A$1:$C$17,2,0)</f>
        <v>Sales</v>
      </c>
    </row>
    <row r="1620" spans="1:9" x14ac:dyDescent="0.2">
      <c r="A1620">
        <v>6780</v>
      </c>
      <c r="B1620" s="7">
        <v>45992</v>
      </c>
      <c r="C1620" t="s">
        <v>1498</v>
      </c>
      <c r="D1620" t="s">
        <v>1499</v>
      </c>
      <c r="E1620" s="6">
        <v>4035.75</v>
      </c>
      <c r="G1620">
        <v>230</v>
      </c>
      <c r="H1620" s="7">
        <v>45962</v>
      </c>
      <c r="I1620" t="str">
        <f>VLOOKUP(G1620,Kostenstellen!$A$1:$C$17,2,0)</f>
        <v>Sales</v>
      </c>
    </row>
    <row r="1621" spans="1:9" x14ac:dyDescent="0.2">
      <c r="A1621">
        <v>6780</v>
      </c>
      <c r="B1621" s="7">
        <v>45992</v>
      </c>
      <c r="C1621" t="s">
        <v>1500</v>
      </c>
      <c r="D1621" t="s">
        <v>1501</v>
      </c>
      <c r="E1621" s="6">
        <v>3500</v>
      </c>
      <c r="G1621">
        <v>230</v>
      </c>
      <c r="H1621" s="7">
        <v>45962</v>
      </c>
      <c r="I1621" t="str">
        <f>VLOOKUP(G1621,Kostenstellen!$A$1:$C$17,2,0)</f>
        <v>Sales</v>
      </c>
    </row>
    <row r="1622" spans="1:9" x14ac:dyDescent="0.2">
      <c r="A1622">
        <v>6780</v>
      </c>
      <c r="B1622" s="7">
        <v>45993</v>
      </c>
      <c r="C1622" t="s">
        <v>1502</v>
      </c>
      <c r="D1622" t="s">
        <v>1496</v>
      </c>
      <c r="E1622" s="6">
        <v>3569.7</v>
      </c>
      <c r="G1622">
        <v>230</v>
      </c>
      <c r="H1622" s="7">
        <v>45991</v>
      </c>
      <c r="I1622" t="str">
        <f>VLOOKUP(G1622,Kostenstellen!$A$1:$C$17,2,0)</f>
        <v>Sales</v>
      </c>
    </row>
    <row r="1623" spans="1:9" x14ac:dyDescent="0.2">
      <c r="A1623">
        <v>6780</v>
      </c>
      <c r="B1623" s="7">
        <v>46023</v>
      </c>
      <c r="C1623" t="s">
        <v>1503</v>
      </c>
      <c r="D1623" t="s">
        <v>1504</v>
      </c>
      <c r="E1623" s="6">
        <v>6417.3</v>
      </c>
      <c r="G1623">
        <v>230</v>
      </c>
      <c r="H1623" s="7">
        <v>45992</v>
      </c>
      <c r="I1623" t="str">
        <f>VLOOKUP(G1623,Kostenstellen!$A$1:$C$17,2,0)</f>
        <v>Sales</v>
      </c>
    </row>
    <row r="1624" spans="1:9" x14ac:dyDescent="0.2">
      <c r="A1624">
        <v>6780</v>
      </c>
      <c r="B1624" s="7">
        <v>46023</v>
      </c>
      <c r="C1624" t="s">
        <v>1505</v>
      </c>
      <c r="D1624" t="s">
        <v>1506</v>
      </c>
      <c r="E1624" s="6">
        <v>6517.5</v>
      </c>
      <c r="G1624">
        <v>230</v>
      </c>
      <c r="H1624" s="7">
        <v>45992</v>
      </c>
      <c r="I1624" t="str">
        <f>VLOOKUP(G1624,Kostenstellen!$A$1:$C$17,2,0)</f>
        <v>Sales</v>
      </c>
    </row>
    <row r="1625" spans="1:9" x14ac:dyDescent="0.2">
      <c r="A1625">
        <v>6780</v>
      </c>
      <c r="B1625" s="7">
        <v>46023</v>
      </c>
      <c r="C1625" t="s">
        <v>1507</v>
      </c>
      <c r="D1625" t="s">
        <v>1508</v>
      </c>
      <c r="E1625" s="6">
        <v>4098.3999999999996</v>
      </c>
      <c r="G1625">
        <v>230</v>
      </c>
      <c r="H1625" s="7">
        <v>45992</v>
      </c>
      <c r="I1625" t="str">
        <f>VLOOKUP(G1625,Kostenstellen!$A$1:$C$17,2,0)</f>
        <v>Sales</v>
      </c>
    </row>
    <row r="1626" spans="1:9" x14ac:dyDescent="0.2">
      <c r="A1626">
        <v>6780</v>
      </c>
      <c r="B1626" s="7">
        <v>46023</v>
      </c>
      <c r="C1626" t="s">
        <v>1509</v>
      </c>
      <c r="D1626" t="s">
        <v>1508</v>
      </c>
      <c r="E1626" s="6">
        <v>3777.89</v>
      </c>
      <c r="G1626">
        <v>230</v>
      </c>
      <c r="H1626" s="7">
        <v>45992</v>
      </c>
      <c r="I1626" t="str">
        <f>VLOOKUP(G1626,Kostenstellen!$A$1:$C$17,2,0)</f>
        <v>Sales</v>
      </c>
    </row>
    <row r="1627" spans="1:9" x14ac:dyDescent="0.2">
      <c r="A1627">
        <v>6780</v>
      </c>
      <c r="B1627" s="7">
        <v>46023</v>
      </c>
      <c r="C1627" t="s">
        <v>1510</v>
      </c>
      <c r="D1627" t="s">
        <v>1511</v>
      </c>
      <c r="E1627" s="6">
        <v>2400</v>
      </c>
      <c r="G1627">
        <v>230</v>
      </c>
      <c r="H1627" s="7">
        <v>45992</v>
      </c>
      <c r="I1627" t="str">
        <f>VLOOKUP(G1627,Kostenstellen!$A$1:$C$17,2,0)</f>
        <v>Sales</v>
      </c>
    </row>
    <row r="1628" spans="1:9" x14ac:dyDescent="0.2">
      <c r="A1628">
        <v>6780</v>
      </c>
      <c r="B1628" s="7">
        <v>46023</v>
      </c>
      <c r="C1628" t="s">
        <v>1512</v>
      </c>
      <c r="D1628" t="s">
        <v>1513</v>
      </c>
      <c r="E1628" s="6">
        <v>4002.29</v>
      </c>
      <c r="G1628">
        <v>230</v>
      </c>
      <c r="H1628" s="7">
        <v>45992</v>
      </c>
      <c r="I1628" t="str">
        <f>VLOOKUP(G1628,Kostenstellen!$A$1:$C$17,2,0)</f>
        <v>Sales</v>
      </c>
    </row>
    <row r="1629" spans="1:9" x14ac:dyDescent="0.2">
      <c r="A1629">
        <v>6780</v>
      </c>
      <c r="B1629" s="7">
        <v>46023</v>
      </c>
      <c r="C1629" t="s">
        <v>1514</v>
      </c>
      <c r="D1629" t="s">
        <v>1515</v>
      </c>
      <c r="E1629">
        <v>397.73</v>
      </c>
      <c r="G1629">
        <v>230</v>
      </c>
      <c r="H1629" s="7">
        <v>45992</v>
      </c>
      <c r="I1629" t="str">
        <f>VLOOKUP(G1629,Kostenstellen!$A$1:$C$17,2,0)</f>
        <v>Sales</v>
      </c>
    </row>
    <row r="1630" spans="1:9" x14ac:dyDescent="0.2">
      <c r="A1630">
        <v>6780</v>
      </c>
      <c r="B1630" s="7">
        <v>46023</v>
      </c>
      <c r="C1630" t="s">
        <v>1516</v>
      </c>
      <c r="D1630" t="s">
        <v>1517</v>
      </c>
      <c r="E1630" s="6">
        <v>3500</v>
      </c>
      <c r="G1630">
        <v>230</v>
      </c>
      <c r="H1630" s="7">
        <v>45992</v>
      </c>
      <c r="I1630" t="str">
        <f>VLOOKUP(G1630,Kostenstellen!$A$1:$C$17,2,0)</f>
        <v>Sales</v>
      </c>
    </row>
    <row r="1631" spans="1:9" x14ac:dyDescent="0.2">
      <c r="A1631">
        <v>6781</v>
      </c>
      <c r="B1631" s="7">
        <v>45658</v>
      </c>
      <c r="C1631" t="s">
        <v>1518</v>
      </c>
      <c r="D1631" t="s">
        <v>1519</v>
      </c>
      <c r="E1631" s="6">
        <v>6000</v>
      </c>
      <c r="G1631">
        <v>235</v>
      </c>
      <c r="I1631" t="str">
        <f>VLOOKUP(G1631,Kostenstellen!$A$1:$C$17,2,0)</f>
        <v>Marketing</v>
      </c>
    </row>
    <row r="1632" spans="1:9" x14ac:dyDescent="0.2">
      <c r="A1632">
        <v>6781</v>
      </c>
      <c r="B1632" s="7">
        <v>45661</v>
      </c>
      <c r="C1632" t="s">
        <v>1520</v>
      </c>
      <c r="D1632" t="s">
        <v>1521</v>
      </c>
      <c r="E1632" s="6">
        <v>6000</v>
      </c>
      <c r="G1632">
        <v>235</v>
      </c>
      <c r="I1632" t="str">
        <f>VLOOKUP(G1632,Kostenstellen!$A$1:$C$17,2,0)</f>
        <v>Marketing</v>
      </c>
    </row>
    <row r="1633" spans="1:9" x14ac:dyDescent="0.2">
      <c r="A1633">
        <v>6781</v>
      </c>
      <c r="B1633" s="7">
        <v>45689</v>
      </c>
      <c r="C1633" t="s">
        <v>1522</v>
      </c>
      <c r="D1633" t="s">
        <v>1523</v>
      </c>
      <c r="E1633">
        <v>226.54</v>
      </c>
      <c r="G1633">
        <v>235</v>
      </c>
      <c r="H1633" s="7">
        <v>45688</v>
      </c>
      <c r="I1633" t="str">
        <f>VLOOKUP(G1633,Kostenstellen!$A$1:$C$17,2,0)</f>
        <v>Marketing</v>
      </c>
    </row>
    <row r="1634" spans="1:9" x14ac:dyDescent="0.2">
      <c r="A1634">
        <v>6781</v>
      </c>
      <c r="B1634" s="7">
        <v>45689</v>
      </c>
      <c r="C1634" t="s">
        <v>1524</v>
      </c>
      <c r="D1634" t="s">
        <v>1525</v>
      </c>
      <c r="E1634">
        <v>138.66999999999999</v>
      </c>
      <c r="G1634">
        <v>235</v>
      </c>
      <c r="H1634" s="7">
        <v>45688</v>
      </c>
      <c r="I1634" t="str">
        <f>VLOOKUP(G1634,Kostenstellen!$A$1:$C$17,2,0)</f>
        <v>Marketing</v>
      </c>
    </row>
    <row r="1635" spans="1:9" x14ac:dyDescent="0.2">
      <c r="A1635">
        <v>6781</v>
      </c>
      <c r="B1635" s="7">
        <v>45689</v>
      </c>
      <c r="C1635" t="s">
        <v>1526</v>
      </c>
      <c r="D1635" t="s">
        <v>1527</v>
      </c>
      <c r="E1635" s="6">
        <v>1807.39</v>
      </c>
      <c r="G1635">
        <v>235</v>
      </c>
      <c r="H1635" s="7">
        <v>45688</v>
      </c>
      <c r="I1635" t="str">
        <f>VLOOKUP(G1635,Kostenstellen!$A$1:$C$17,2,0)</f>
        <v>Marketing</v>
      </c>
    </row>
    <row r="1636" spans="1:9" x14ac:dyDescent="0.2">
      <c r="A1636">
        <v>6781</v>
      </c>
      <c r="B1636" s="7">
        <v>45692</v>
      </c>
      <c r="C1636" t="s">
        <v>1528</v>
      </c>
      <c r="D1636" t="s">
        <v>1092</v>
      </c>
      <c r="E1636" s="6">
        <v>6000</v>
      </c>
      <c r="G1636">
        <v>235</v>
      </c>
      <c r="I1636" t="str">
        <f>VLOOKUP(G1636,Kostenstellen!$A$1:$C$17,2,0)</f>
        <v>Marketing</v>
      </c>
    </row>
    <row r="1637" spans="1:9" x14ac:dyDescent="0.2">
      <c r="A1637">
        <v>6781</v>
      </c>
      <c r="B1637" s="7">
        <v>45717</v>
      </c>
      <c r="C1637" t="s">
        <v>1529</v>
      </c>
      <c r="D1637" t="s">
        <v>1530</v>
      </c>
      <c r="E1637" s="6">
        <v>1807.3</v>
      </c>
      <c r="G1637">
        <v>235</v>
      </c>
      <c r="H1637" s="7">
        <v>45689</v>
      </c>
      <c r="I1637" t="str">
        <f>VLOOKUP(G1637,Kostenstellen!$A$1:$C$17,2,0)</f>
        <v>Marketing</v>
      </c>
    </row>
    <row r="1638" spans="1:9" x14ac:dyDescent="0.2">
      <c r="A1638">
        <v>6781</v>
      </c>
      <c r="B1638" s="7">
        <v>45717</v>
      </c>
      <c r="C1638" t="s">
        <v>1531</v>
      </c>
      <c r="D1638" t="s">
        <v>1532</v>
      </c>
      <c r="E1638">
        <v>202.58</v>
      </c>
      <c r="G1638">
        <v>235</v>
      </c>
      <c r="H1638" s="7">
        <v>45716</v>
      </c>
      <c r="I1638" t="str">
        <f>VLOOKUP(G1638,Kostenstellen!$A$1:$C$17,2,0)</f>
        <v>Marketing</v>
      </c>
    </row>
    <row r="1639" spans="1:9" x14ac:dyDescent="0.2">
      <c r="A1639">
        <v>6781</v>
      </c>
      <c r="B1639" s="7">
        <v>45720</v>
      </c>
      <c r="C1639" t="s">
        <v>1533</v>
      </c>
      <c r="D1639" t="s">
        <v>1534</v>
      </c>
      <c r="E1639" s="6">
        <v>6000</v>
      </c>
      <c r="G1639">
        <v>235</v>
      </c>
      <c r="I1639" t="str">
        <f>VLOOKUP(G1639,Kostenstellen!$A$1:$C$17,2,0)</f>
        <v>Marketing</v>
      </c>
    </row>
    <row r="1640" spans="1:9" x14ac:dyDescent="0.2">
      <c r="A1640">
        <v>6781</v>
      </c>
      <c r="B1640" s="7">
        <v>45748</v>
      </c>
      <c r="C1640" t="s">
        <v>1535</v>
      </c>
      <c r="D1640" t="s">
        <v>1536</v>
      </c>
      <c r="E1640">
        <v>147.33000000000001</v>
      </c>
      <c r="G1640">
        <v>235</v>
      </c>
      <c r="H1640" s="7">
        <v>45717</v>
      </c>
      <c r="I1640" t="str">
        <f>VLOOKUP(G1640,Kostenstellen!$A$1:$C$17,2,0)</f>
        <v>Marketing</v>
      </c>
    </row>
    <row r="1641" spans="1:9" x14ac:dyDescent="0.2">
      <c r="A1641">
        <v>6781</v>
      </c>
      <c r="B1641" s="7">
        <v>45748</v>
      </c>
      <c r="C1641" t="s">
        <v>1537</v>
      </c>
      <c r="D1641" t="s">
        <v>1538</v>
      </c>
      <c r="E1641" s="6">
        <v>1809.06</v>
      </c>
      <c r="G1641">
        <v>235</v>
      </c>
      <c r="H1641" s="7">
        <v>45717</v>
      </c>
      <c r="I1641" t="str">
        <f>VLOOKUP(G1641,Kostenstellen!$A$1:$C$17,2,0)</f>
        <v>Marketing</v>
      </c>
    </row>
    <row r="1642" spans="1:9" x14ac:dyDescent="0.2">
      <c r="A1642">
        <v>6781</v>
      </c>
      <c r="B1642" s="7">
        <v>45770</v>
      </c>
      <c r="C1642" t="s">
        <v>1539</v>
      </c>
      <c r="D1642" t="s">
        <v>1540</v>
      </c>
      <c r="E1642" s="6">
        <v>3172.75</v>
      </c>
      <c r="G1642">
        <v>235</v>
      </c>
      <c r="I1642" t="str">
        <f>VLOOKUP(G1642,Kostenstellen!$A$1:$C$17,2,0)</f>
        <v>Marketing</v>
      </c>
    </row>
    <row r="1643" spans="1:9" x14ac:dyDescent="0.2">
      <c r="A1643">
        <v>6781</v>
      </c>
      <c r="B1643" s="7">
        <v>45778</v>
      </c>
      <c r="C1643" t="s">
        <v>1541</v>
      </c>
      <c r="D1643" t="s">
        <v>1542</v>
      </c>
      <c r="E1643" s="6">
        <v>1806.77</v>
      </c>
      <c r="G1643">
        <v>235</v>
      </c>
      <c r="H1643" s="7">
        <v>45748</v>
      </c>
      <c r="I1643" t="str">
        <f>VLOOKUP(G1643,Kostenstellen!$A$1:$C$17,2,0)</f>
        <v>Marketing</v>
      </c>
    </row>
    <row r="1644" spans="1:9" x14ac:dyDescent="0.2">
      <c r="A1644">
        <v>6781</v>
      </c>
      <c r="B1644" s="7">
        <v>45797</v>
      </c>
      <c r="C1644" t="s">
        <v>1543</v>
      </c>
      <c r="D1644" t="s">
        <v>1544</v>
      </c>
      <c r="E1644" s="6">
        <v>3152.4</v>
      </c>
      <c r="G1644">
        <v>235</v>
      </c>
      <c r="I1644" t="str">
        <f>VLOOKUP(G1644,Kostenstellen!$A$1:$C$17,2,0)</f>
        <v>Marketing</v>
      </c>
    </row>
    <row r="1645" spans="1:9" x14ac:dyDescent="0.2">
      <c r="A1645">
        <v>6781</v>
      </c>
      <c r="B1645" s="7">
        <v>45809</v>
      </c>
      <c r="C1645" t="s">
        <v>1545</v>
      </c>
      <c r="D1645" t="s">
        <v>1546</v>
      </c>
      <c r="E1645">
        <v>147.77000000000001</v>
      </c>
      <c r="G1645">
        <v>235</v>
      </c>
      <c r="H1645" s="7">
        <v>45778</v>
      </c>
      <c r="I1645" t="str">
        <f>VLOOKUP(G1645,Kostenstellen!$A$1:$C$17,2,0)</f>
        <v>Marketing</v>
      </c>
    </row>
    <row r="1646" spans="1:9" x14ac:dyDescent="0.2">
      <c r="A1646">
        <v>6781</v>
      </c>
      <c r="B1646" s="7">
        <v>45809</v>
      </c>
      <c r="C1646" t="s">
        <v>1547</v>
      </c>
      <c r="D1646" t="s">
        <v>1548</v>
      </c>
      <c r="E1646" s="6">
        <v>1806.59</v>
      </c>
      <c r="G1646">
        <v>235</v>
      </c>
      <c r="H1646" s="7">
        <v>45778</v>
      </c>
      <c r="I1646" t="str">
        <f>VLOOKUP(G1646,Kostenstellen!$A$1:$C$17,2,0)</f>
        <v>Marketing</v>
      </c>
    </row>
    <row r="1647" spans="1:9" x14ac:dyDescent="0.2">
      <c r="A1647">
        <v>6781</v>
      </c>
      <c r="B1647" s="7">
        <v>45828</v>
      </c>
      <c r="C1647" t="s">
        <v>1549</v>
      </c>
      <c r="D1647" t="s">
        <v>1550</v>
      </c>
      <c r="E1647" s="6">
        <v>3795.4</v>
      </c>
      <c r="G1647">
        <v>235</v>
      </c>
      <c r="I1647" t="str">
        <f>VLOOKUP(G1647,Kostenstellen!$A$1:$C$17,2,0)</f>
        <v>Marketing</v>
      </c>
    </row>
    <row r="1648" spans="1:9" x14ac:dyDescent="0.2">
      <c r="A1648">
        <v>6781</v>
      </c>
      <c r="B1648" s="7">
        <v>45838</v>
      </c>
      <c r="C1648" t="s">
        <v>1551</v>
      </c>
      <c r="D1648" t="s">
        <v>1552</v>
      </c>
      <c r="E1648" s="6">
        <v>1806.43</v>
      </c>
      <c r="G1648">
        <v>235</v>
      </c>
      <c r="H1648" s="7">
        <v>45838</v>
      </c>
      <c r="I1648" t="str">
        <f>VLOOKUP(G1648,Kostenstellen!$A$1:$C$17,2,0)</f>
        <v>Marketing</v>
      </c>
    </row>
    <row r="1649" spans="1:9" x14ac:dyDescent="0.2">
      <c r="A1649">
        <v>6781</v>
      </c>
      <c r="B1649" s="7">
        <v>45839</v>
      </c>
      <c r="C1649" t="s">
        <v>1553</v>
      </c>
      <c r="D1649" t="s">
        <v>1554</v>
      </c>
      <c r="E1649">
        <v>325</v>
      </c>
      <c r="G1649">
        <v>235</v>
      </c>
      <c r="H1649" s="7">
        <v>45838</v>
      </c>
      <c r="I1649" t="str">
        <f>VLOOKUP(G1649,Kostenstellen!$A$1:$C$17,2,0)</f>
        <v>Marketing</v>
      </c>
    </row>
    <row r="1650" spans="1:9" x14ac:dyDescent="0.2">
      <c r="A1650">
        <v>6781</v>
      </c>
      <c r="B1650" s="7">
        <v>45856</v>
      </c>
      <c r="C1650" t="s">
        <v>1555</v>
      </c>
      <c r="D1650" t="s">
        <v>1556</v>
      </c>
      <c r="E1650" s="6">
        <v>3079</v>
      </c>
      <c r="G1650">
        <v>235</v>
      </c>
      <c r="I1650" t="str">
        <f>VLOOKUP(G1650,Kostenstellen!$A$1:$C$17,2,0)</f>
        <v>Marketing</v>
      </c>
    </row>
    <row r="1651" spans="1:9" x14ac:dyDescent="0.2">
      <c r="A1651">
        <v>6781</v>
      </c>
      <c r="B1651" s="7">
        <v>45870</v>
      </c>
      <c r="C1651" t="s">
        <v>1557</v>
      </c>
      <c r="D1651" t="s">
        <v>1558</v>
      </c>
      <c r="E1651" s="6">
        <v>1806.74</v>
      </c>
      <c r="G1651">
        <v>235</v>
      </c>
      <c r="H1651" s="7">
        <v>45869</v>
      </c>
      <c r="I1651" t="str">
        <f>VLOOKUP(G1651,Kostenstellen!$A$1:$C$17,2,0)</f>
        <v>Marketing</v>
      </c>
    </row>
    <row r="1652" spans="1:9" x14ac:dyDescent="0.2">
      <c r="A1652">
        <v>6781</v>
      </c>
      <c r="B1652" s="7">
        <v>45870</v>
      </c>
      <c r="C1652" t="s">
        <v>1559</v>
      </c>
      <c r="D1652" t="s">
        <v>1560</v>
      </c>
      <c r="E1652">
        <v>331.5</v>
      </c>
      <c r="G1652">
        <v>235</v>
      </c>
      <c r="H1652" s="7">
        <v>45869</v>
      </c>
      <c r="I1652" t="str">
        <f>VLOOKUP(G1652,Kostenstellen!$A$1:$C$17,2,0)</f>
        <v>Marketing</v>
      </c>
    </row>
    <row r="1653" spans="1:9" x14ac:dyDescent="0.2">
      <c r="A1653">
        <v>6781</v>
      </c>
      <c r="B1653" s="7">
        <v>45891</v>
      </c>
      <c r="C1653" t="s">
        <v>1561</v>
      </c>
      <c r="D1653" t="s">
        <v>1562</v>
      </c>
      <c r="E1653" s="6">
        <v>3067.4</v>
      </c>
      <c r="G1653">
        <v>235</v>
      </c>
      <c r="I1653" t="str">
        <f>VLOOKUP(G1653,Kostenstellen!$A$1:$C$17,2,0)</f>
        <v>Marketing</v>
      </c>
    </row>
    <row r="1654" spans="1:9" x14ac:dyDescent="0.2">
      <c r="A1654">
        <v>6781</v>
      </c>
      <c r="B1654" s="7">
        <v>45898</v>
      </c>
      <c r="C1654" t="s">
        <v>1563</v>
      </c>
      <c r="D1654" t="s">
        <v>1564</v>
      </c>
      <c r="E1654" s="6">
        <v>1806.62</v>
      </c>
      <c r="G1654">
        <v>235</v>
      </c>
      <c r="I1654" t="str">
        <f>VLOOKUP(G1654,Kostenstellen!$A$1:$C$17,2,0)</f>
        <v>Marketing</v>
      </c>
    </row>
    <row r="1655" spans="1:9" x14ac:dyDescent="0.2">
      <c r="A1655">
        <v>6781</v>
      </c>
      <c r="B1655" s="7">
        <v>45901</v>
      </c>
      <c r="C1655" t="s">
        <v>1565</v>
      </c>
      <c r="D1655" t="s">
        <v>1566</v>
      </c>
      <c r="E1655">
        <v>471.68</v>
      </c>
      <c r="G1655">
        <v>235</v>
      </c>
      <c r="H1655" s="7">
        <v>45899</v>
      </c>
      <c r="I1655" t="str">
        <f>VLOOKUP(G1655,Kostenstellen!$A$1:$C$17,2,0)</f>
        <v>Marketing</v>
      </c>
    </row>
    <row r="1656" spans="1:9" x14ac:dyDescent="0.2">
      <c r="A1656">
        <v>6781</v>
      </c>
      <c r="B1656" s="7">
        <v>45919</v>
      </c>
      <c r="C1656" t="s">
        <v>1567</v>
      </c>
      <c r="D1656" t="s">
        <v>1568</v>
      </c>
      <c r="E1656" s="6">
        <v>3251.5</v>
      </c>
      <c r="G1656">
        <v>235</v>
      </c>
      <c r="I1656" t="str">
        <f>VLOOKUP(G1656,Kostenstellen!$A$1:$C$17,2,0)</f>
        <v>Marketing</v>
      </c>
    </row>
    <row r="1657" spans="1:9" x14ac:dyDescent="0.2">
      <c r="A1657">
        <v>6781</v>
      </c>
      <c r="B1657" s="7">
        <v>45931</v>
      </c>
      <c r="C1657" t="s">
        <v>1569</v>
      </c>
      <c r="D1657" t="s">
        <v>1570</v>
      </c>
      <c r="E1657" s="6">
        <v>1806.59</v>
      </c>
      <c r="G1657">
        <v>235</v>
      </c>
      <c r="H1657" s="7">
        <v>45930</v>
      </c>
      <c r="I1657" t="str">
        <f>VLOOKUP(G1657,Kostenstellen!$A$1:$C$17,2,0)</f>
        <v>Marketing</v>
      </c>
    </row>
    <row r="1658" spans="1:9" x14ac:dyDescent="0.2">
      <c r="A1658">
        <v>6781</v>
      </c>
      <c r="B1658" s="7">
        <v>45931</v>
      </c>
      <c r="C1658" t="s">
        <v>1571</v>
      </c>
      <c r="D1658" t="s">
        <v>1572</v>
      </c>
      <c r="E1658">
        <v>349.92</v>
      </c>
      <c r="G1658">
        <v>235</v>
      </c>
      <c r="H1658" s="7">
        <v>45930</v>
      </c>
      <c r="I1658" t="str">
        <f>VLOOKUP(G1658,Kostenstellen!$A$1:$C$17,2,0)</f>
        <v>Marketing</v>
      </c>
    </row>
    <row r="1659" spans="1:9" x14ac:dyDescent="0.2">
      <c r="A1659">
        <v>6781</v>
      </c>
      <c r="B1659" s="7">
        <v>45951</v>
      </c>
      <c r="C1659" t="s">
        <v>1573</v>
      </c>
      <c r="D1659" t="s">
        <v>1574</v>
      </c>
      <c r="E1659" s="6">
        <v>3282.3</v>
      </c>
      <c r="G1659">
        <v>235</v>
      </c>
      <c r="I1659" t="str">
        <f>VLOOKUP(G1659,Kostenstellen!$A$1:$C$17,2,0)</f>
        <v>Marketing</v>
      </c>
    </row>
    <row r="1660" spans="1:9" x14ac:dyDescent="0.2">
      <c r="A1660">
        <v>6781</v>
      </c>
      <c r="B1660" s="7">
        <v>45961</v>
      </c>
      <c r="C1660" t="s">
        <v>1575</v>
      </c>
      <c r="D1660" t="s">
        <v>1576</v>
      </c>
      <c r="E1660" s="6">
        <v>1761.95</v>
      </c>
      <c r="G1660">
        <v>235</v>
      </c>
      <c r="I1660" t="str">
        <f>VLOOKUP(G1660,Kostenstellen!$A$1:$C$17,2,0)</f>
        <v>Marketing</v>
      </c>
    </row>
    <row r="1661" spans="1:9" x14ac:dyDescent="0.2">
      <c r="A1661">
        <v>6781</v>
      </c>
      <c r="B1661" s="7">
        <v>45962</v>
      </c>
      <c r="C1661" t="s">
        <v>1577</v>
      </c>
      <c r="D1661" t="s">
        <v>1578</v>
      </c>
      <c r="E1661">
        <v>886.36</v>
      </c>
      <c r="G1661">
        <v>235</v>
      </c>
      <c r="H1661" s="7">
        <v>45931</v>
      </c>
      <c r="I1661" t="str">
        <f>VLOOKUP(G1661,Kostenstellen!$A$1:$C$17,2,0)</f>
        <v>Marketing</v>
      </c>
    </row>
    <row r="1662" spans="1:9" x14ac:dyDescent="0.2">
      <c r="A1662">
        <v>6781</v>
      </c>
      <c r="B1662" s="7">
        <v>45962</v>
      </c>
      <c r="C1662" t="s">
        <v>1579</v>
      </c>
      <c r="D1662" t="s">
        <v>1580</v>
      </c>
      <c r="E1662">
        <v>250.25</v>
      </c>
      <c r="G1662">
        <v>235</v>
      </c>
      <c r="H1662" s="7">
        <v>45960</v>
      </c>
      <c r="I1662" t="str">
        <f>VLOOKUP(G1662,Kostenstellen!$A$1:$C$17,2,0)</f>
        <v>Marketing</v>
      </c>
    </row>
    <row r="1663" spans="1:9" x14ac:dyDescent="0.2">
      <c r="A1663">
        <v>6781</v>
      </c>
      <c r="B1663" s="7">
        <v>45982</v>
      </c>
      <c r="C1663" t="s">
        <v>1581</v>
      </c>
      <c r="D1663" t="s">
        <v>1582</v>
      </c>
      <c r="E1663" s="6">
        <v>3444</v>
      </c>
      <c r="G1663">
        <v>235</v>
      </c>
      <c r="I1663" t="str">
        <f>VLOOKUP(G1663,Kostenstellen!$A$1:$C$17,2,0)</f>
        <v>Marketing</v>
      </c>
    </row>
    <row r="1664" spans="1:9" x14ac:dyDescent="0.2">
      <c r="A1664">
        <v>6781</v>
      </c>
      <c r="B1664" s="7">
        <v>45991</v>
      </c>
      <c r="C1664" t="s">
        <v>1583</v>
      </c>
      <c r="D1664" t="s">
        <v>1584</v>
      </c>
      <c r="E1664" s="6">
        <v>1807.47</v>
      </c>
      <c r="G1664">
        <v>235</v>
      </c>
      <c r="I1664" t="str">
        <f>VLOOKUP(G1664,Kostenstellen!$A$1:$C$17,2,0)</f>
        <v>Marketing</v>
      </c>
    </row>
    <row r="1665" spans="1:9" x14ac:dyDescent="0.2">
      <c r="A1665">
        <v>6781</v>
      </c>
      <c r="B1665" s="7">
        <v>45992</v>
      </c>
      <c r="C1665" t="s">
        <v>1585</v>
      </c>
      <c r="D1665" t="s">
        <v>1586</v>
      </c>
      <c r="E1665">
        <v>277.29000000000002</v>
      </c>
      <c r="G1665">
        <v>235</v>
      </c>
      <c r="H1665" s="7">
        <v>45991</v>
      </c>
      <c r="I1665" t="str">
        <f>VLOOKUP(G1665,Kostenstellen!$A$1:$C$17,2,0)</f>
        <v>Marketing</v>
      </c>
    </row>
    <row r="1666" spans="1:9" x14ac:dyDescent="0.2">
      <c r="A1666">
        <v>6781</v>
      </c>
      <c r="B1666" s="7">
        <v>45992</v>
      </c>
      <c r="C1666" t="s">
        <v>1587</v>
      </c>
      <c r="D1666" t="s">
        <v>1588</v>
      </c>
      <c r="E1666" s="6">
        <v>1500</v>
      </c>
      <c r="G1666">
        <v>235</v>
      </c>
      <c r="H1666" s="7">
        <v>45962</v>
      </c>
      <c r="I1666" t="str">
        <f>VLOOKUP(G1666,Kostenstellen!$A$1:$C$17,2,0)</f>
        <v>Marketing</v>
      </c>
    </row>
    <row r="1667" spans="1:9" x14ac:dyDescent="0.2">
      <c r="A1667">
        <v>6781</v>
      </c>
      <c r="B1667" s="7">
        <v>46010</v>
      </c>
      <c r="C1667" t="s">
        <v>1589</v>
      </c>
      <c r="D1667" t="s">
        <v>1590</v>
      </c>
      <c r="E1667" s="6">
        <v>3327</v>
      </c>
      <c r="G1667">
        <v>235</v>
      </c>
      <c r="I1667" t="str">
        <f>VLOOKUP(G1667,Kostenstellen!$A$1:$C$17,2,0)</f>
        <v>Marketing</v>
      </c>
    </row>
    <row r="1668" spans="1:9" x14ac:dyDescent="0.2">
      <c r="A1668">
        <v>6781</v>
      </c>
      <c r="B1668" s="7">
        <v>46023</v>
      </c>
      <c r="C1668" t="s">
        <v>1591</v>
      </c>
      <c r="D1668" t="s">
        <v>1592</v>
      </c>
      <c r="E1668">
        <v>920.17</v>
      </c>
      <c r="G1668">
        <v>235</v>
      </c>
      <c r="H1668" s="7">
        <v>45992</v>
      </c>
      <c r="I1668" t="str">
        <f>VLOOKUP(G1668,Kostenstellen!$A$1:$C$17,2,0)</f>
        <v>Marketing</v>
      </c>
    </row>
    <row r="1669" spans="1:9" x14ac:dyDescent="0.2">
      <c r="A1669">
        <v>6781</v>
      </c>
      <c r="B1669" s="7">
        <v>46023</v>
      </c>
      <c r="C1669" t="s">
        <v>1593</v>
      </c>
      <c r="D1669" t="s">
        <v>1594</v>
      </c>
      <c r="E1669">
        <v>268.7</v>
      </c>
      <c r="G1669">
        <v>235</v>
      </c>
      <c r="H1669" s="7">
        <v>45992</v>
      </c>
      <c r="I1669" t="str">
        <f>VLOOKUP(G1669,Kostenstellen!$A$1:$C$17,2,0)</f>
        <v>Marketing</v>
      </c>
    </row>
    <row r="1670" spans="1:9" x14ac:dyDescent="0.2">
      <c r="A1670">
        <v>6781</v>
      </c>
      <c r="B1670" s="7">
        <v>46023</v>
      </c>
      <c r="C1670" t="s">
        <v>1595</v>
      </c>
      <c r="D1670" t="s">
        <v>1596</v>
      </c>
      <c r="E1670">
        <v>135.18</v>
      </c>
      <c r="G1670">
        <v>235</v>
      </c>
      <c r="H1670" s="7">
        <v>45992</v>
      </c>
      <c r="I1670" t="str">
        <f>VLOOKUP(G1670,Kostenstellen!$A$1:$C$17,2,0)</f>
        <v>Marketing</v>
      </c>
    </row>
    <row r="1671" spans="1:9" x14ac:dyDescent="0.2">
      <c r="A1671">
        <v>6781</v>
      </c>
      <c r="B1671" s="7">
        <v>46023</v>
      </c>
      <c r="C1671" t="s">
        <v>1597</v>
      </c>
      <c r="D1671" t="s">
        <v>1598</v>
      </c>
      <c r="E1671" s="6">
        <v>1807.58</v>
      </c>
      <c r="G1671">
        <v>235</v>
      </c>
      <c r="H1671" s="7">
        <v>45992</v>
      </c>
      <c r="I1671" t="str">
        <f>VLOOKUP(G1671,Kostenstellen!$A$1:$C$17,2,0)</f>
        <v>Marketing</v>
      </c>
    </row>
    <row r="1672" spans="1:9" x14ac:dyDescent="0.2">
      <c r="A1672">
        <v>6781</v>
      </c>
      <c r="B1672" s="7">
        <v>46023</v>
      </c>
      <c r="C1672" t="s">
        <v>1599</v>
      </c>
      <c r="D1672" t="s">
        <v>1600</v>
      </c>
      <c r="E1672" s="6">
        <v>1500</v>
      </c>
      <c r="G1672">
        <v>235</v>
      </c>
      <c r="H1672" s="7">
        <v>45992</v>
      </c>
      <c r="I1672" t="str">
        <f>VLOOKUP(G1672,Kostenstellen!$A$1:$C$17,2,0)</f>
        <v>Marketing</v>
      </c>
    </row>
    <row r="1673" spans="1:9" x14ac:dyDescent="0.2">
      <c r="A1673">
        <v>6782</v>
      </c>
      <c r="B1673" s="7">
        <v>45689</v>
      </c>
      <c r="C1673" t="s">
        <v>1601</v>
      </c>
      <c r="D1673" t="s">
        <v>1602</v>
      </c>
      <c r="E1673" s="6">
        <v>1600</v>
      </c>
      <c r="G1673">
        <v>202</v>
      </c>
      <c r="H1673" s="7">
        <v>45688</v>
      </c>
      <c r="I1673" t="str">
        <f>VLOOKUP(G1673,Kostenstellen!$A$1:$C$17,2,0)</f>
        <v>Recruiting</v>
      </c>
    </row>
    <row r="1674" spans="1:9" x14ac:dyDescent="0.2">
      <c r="A1674">
        <v>6782</v>
      </c>
      <c r="B1674" s="7">
        <v>45689</v>
      </c>
      <c r="C1674" t="s">
        <v>1603</v>
      </c>
      <c r="D1674" t="s">
        <v>1604</v>
      </c>
      <c r="E1674" s="6">
        <v>4500</v>
      </c>
      <c r="G1674">
        <v>220</v>
      </c>
      <c r="H1674" s="7">
        <v>45688</v>
      </c>
      <c r="I1674" t="str">
        <f>VLOOKUP(G1674,Kostenstellen!$A$1:$C$17,2,0)</f>
        <v>Product</v>
      </c>
    </row>
    <row r="1675" spans="1:9" x14ac:dyDescent="0.2">
      <c r="A1675">
        <v>6782</v>
      </c>
      <c r="B1675" s="7">
        <v>45689</v>
      </c>
      <c r="C1675" t="s">
        <v>1605</v>
      </c>
      <c r="D1675" t="s">
        <v>1606</v>
      </c>
      <c r="E1675" s="6">
        <v>8618</v>
      </c>
      <c r="G1675">
        <v>200</v>
      </c>
      <c r="H1675" s="7">
        <v>45688</v>
      </c>
      <c r="I1675" t="str">
        <f>VLOOKUP(G1675,Kostenstellen!$A$1:$C$17,2,0)</f>
        <v>aqua</v>
      </c>
    </row>
    <row r="1676" spans="1:9" x14ac:dyDescent="0.2">
      <c r="A1676">
        <v>6782</v>
      </c>
      <c r="B1676" s="7">
        <v>45717</v>
      </c>
      <c r="C1676" t="s">
        <v>1607</v>
      </c>
      <c r="D1676" t="s">
        <v>1608</v>
      </c>
      <c r="E1676" s="6">
        <v>1600</v>
      </c>
      <c r="G1676">
        <v>202</v>
      </c>
      <c r="H1676" s="7">
        <v>45689</v>
      </c>
      <c r="I1676" t="str">
        <f>VLOOKUP(G1676,Kostenstellen!$A$1:$C$17,2,0)</f>
        <v>Recruiting</v>
      </c>
    </row>
    <row r="1677" spans="1:9" x14ac:dyDescent="0.2">
      <c r="A1677">
        <v>6782</v>
      </c>
      <c r="B1677" s="7">
        <v>45717</v>
      </c>
      <c r="C1677" t="s">
        <v>1609</v>
      </c>
      <c r="D1677" t="s">
        <v>1610</v>
      </c>
      <c r="E1677" s="6">
        <v>4500</v>
      </c>
      <c r="G1677">
        <v>220</v>
      </c>
      <c r="H1677" s="7">
        <v>45689</v>
      </c>
      <c r="I1677" t="str">
        <f>VLOOKUP(G1677,Kostenstellen!$A$1:$C$17,2,0)</f>
        <v>Product</v>
      </c>
    </row>
    <row r="1678" spans="1:9" x14ac:dyDescent="0.2">
      <c r="A1678">
        <v>6782</v>
      </c>
      <c r="B1678" s="7">
        <v>45717</v>
      </c>
      <c r="C1678" t="s">
        <v>1611</v>
      </c>
      <c r="D1678" t="s">
        <v>1612</v>
      </c>
      <c r="E1678" s="6">
        <v>8594</v>
      </c>
      <c r="G1678">
        <v>200</v>
      </c>
      <c r="H1678" s="7">
        <v>45689</v>
      </c>
      <c r="I1678" t="str">
        <f>VLOOKUP(G1678,Kostenstellen!$A$1:$C$17,2,0)</f>
        <v>aqua</v>
      </c>
    </row>
    <row r="1679" spans="1:9" x14ac:dyDescent="0.2">
      <c r="A1679">
        <v>6782</v>
      </c>
      <c r="B1679" s="7">
        <v>45748</v>
      </c>
      <c r="C1679" t="s">
        <v>1613</v>
      </c>
      <c r="D1679" t="s">
        <v>1614</v>
      </c>
      <c r="E1679" s="6">
        <v>1639</v>
      </c>
      <c r="G1679">
        <v>202</v>
      </c>
      <c r="H1679" s="7">
        <v>45717</v>
      </c>
      <c r="I1679" t="str">
        <f>VLOOKUP(G1679,Kostenstellen!$A$1:$C$17,2,0)</f>
        <v>Recruiting</v>
      </c>
    </row>
    <row r="1680" spans="1:9" x14ac:dyDescent="0.2">
      <c r="A1680">
        <v>6782</v>
      </c>
      <c r="B1680" s="7">
        <v>45748</v>
      </c>
      <c r="C1680" t="s">
        <v>1615</v>
      </c>
      <c r="D1680" t="s">
        <v>1616</v>
      </c>
      <c r="E1680" s="6">
        <v>4500</v>
      </c>
      <c r="G1680">
        <v>220</v>
      </c>
      <c r="H1680" s="7">
        <v>45717</v>
      </c>
      <c r="I1680" t="str">
        <f>VLOOKUP(G1680,Kostenstellen!$A$1:$C$17,2,0)</f>
        <v>Product</v>
      </c>
    </row>
    <row r="1681" spans="1:9" x14ac:dyDescent="0.2">
      <c r="A1681">
        <v>6782</v>
      </c>
      <c r="B1681" s="7">
        <v>45749</v>
      </c>
      <c r="C1681" t="s">
        <v>1617</v>
      </c>
      <c r="D1681" t="s">
        <v>1618</v>
      </c>
      <c r="E1681" s="6">
        <v>8523</v>
      </c>
      <c r="G1681">
        <v>200</v>
      </c>
      <c r="H1681" s="7">
        <v>45717</v>
      </c>
      <c r="I1681" t="str">
        <f>VLOOKUP(G1681,Kostenstellen!$A$1:$C$17,2,0)</f>
        <v>aqua</v>
      </c>
    </row>
    <row r="1682" spans="1:9" x14ac:dyDescent="0.2">
      <c r="A1682">
        <v>6782</v>
      </c>
      <c r="B1682" s="7">
        <v>45778</v>
      </c>
      <c r="C1682" t="s">
        <v>1619</v>
      </c>
      <c r="D1682" t="s">
        <v>1620</v>
      </c>
      <c r="E1682" s="6">
        <v>1639</v>
      </c>
      <c r="G1682">
        <v>202</v>
      </c>
      <c r="H1682" s="7">
        <v>45748</v>
      </c>
      <c r="I1682" t="str">
        <f>VLOOKUP(G1682,Kostenstellen!$A$1:$C$17,2,0)</f>
        <v>Recruiting</v>
      </c>
    </row>
    <row r="1683" spans="1:9" x14ac:dyDescent="0.2">
      <c r="A1683">
        <v>6782</v>
      </c>
      <c r="B1683" s="7">
        <v>45778</v>
      </c>
      <c r="C1683" t="s">
        <v>1621</v>
      </c>
      <c r="D1683" t="s">
        <v>1622</v>
      </c>
      <c r="E1683" s="6">
        <v>4500</v>
      </c>
      <c r="G1683">
        <v>220</v>
      </c>
      <c r="H1683" s="7">
        <v>45748</v>
      </c>
      <c r="I1683" t="str">
        <f>VLOOKUP(G1683,Kostenstellen!$A$1:$C$17,2,0)</f>
        <v>Product</v>
      </c>
    </row>
    <row r="1684" spans="1:9" x14ac:dyDescent="0.2">
      <c r="A1684">
        <v>6782</v>
      </c>
      <c r="B1684" s="7">
        <v>45778</v>
      </c>
      <c r="C1684" t="s">
        <v>1623</v>
      </c>
      <c r="D1684" t="s">
        <v>1624</v>
      </c>
      <c r="E1684" s="6">
        <v>8500</v>
      </c>
      <c r="G1684">
        <v>200</v>
      </c>
      <c r="H1684" s="7">
        <v>45748</v>
      </c>
      <c r="I1684" t="str">
        <f>VLOOKUP(G1684,Kostenstellen!$A$1:$C$17,2,0)</f>
        <v>aqua</v>
      </c>
    </row>
    <row r="1685" spans="1:9" x14ac:dyDescent="0.2">
      <c r="A1685">
        <v>6782</v>
      </c>
      <c r="B1685" s="7">
        <v>45809</v>
      </c>
      <c r="C1685" t="s">
        <v>1625</v>
      </c>
      <c r="D1685" t="s">
        <v>1626</v>
      </c>
      <c r="E1685" s="6">
        <v>1639</v>
      </c>
      <c r="G1685">
        <v>202</v>
      </c>
      <c r="H1685" s="7">
        <v>45778</v>
      </c>
      <c r="I1685" t="str">
        <f>VLOOKUP(G1685,Kostenstellen!$A$1:$C$17,2,0)</f>
        <v>Recruiting</v>
      </c>
    </row>
    <row r="1686" spans="1:9" x14ac:dyDescent="0.2">
      <c r="A1686">
        <v>6782</v>
      </c>
      <c r="B1686" s="7">
        <v>45809</v>
      </c>
      <c r="C1686" t="s">
        <v>1627</v>
      </c>
      <c r="D1686" t="s">
        <v>1628</v>
      </c>
      <c r="E1686" s="6">
        <v>4500</v>
      </c>
      <c r="G1686">
        <v>220</v>
      </c>
      <c r="H1686" s="7">
        <v>45778</v>
      </c>
      <c r="I1686" t="str">
        <f>VLOOKUP(G1686,Kostenstellen!$A$1:$C$17,2,0)</f>
        <v>Product</v>
      </c>
    </row>
    <row r="1687" spans="1:9" x14ac:dyDescent="0.2">
      <c r="A1687">
        <v>6782</v>
      </c>
      <c r="B1687" s="7">
        <v>45809</v>
      </c>
      <c r="C1687" t="s">
        <v>1629</v>
      </c>
      <c r="D1687" t="s">
        <v>1630</v>
      </c>
      <c r="E1687" s="6">
        <v>8563</v>
      </c>
      <c r="G1687">
        <v>200</v>
      </c>
      <c r="H1687" s="7">
        <v>45778</v>
      </c>
      <c r="I1687" t="str">
        <f>VLOOKUP(G1687,Kostenstellen!$A$1:$C$17,2,0)</f>
        <v>aqua</v>
      </c>
    </row>
    <row r="1688" spans="1:9" x14ac:dyDescent="0.2">
      <c r="A1688">
        <v>6782</v>
      </c>
      <c r="B1688" s="7">
        <v>45839</v>
      </c>
      <c r="C1688" t="s">
        <v>1631</v>
      </c>
      <c r="D1688" t="s">
        <v>1632</v>
      </c>
      <c r="E1688" s="6">
        <v>1639</v>
      </c>
      <c r="G1688">
        <v>202</v>
      </c>
      <c r="H1688" s="7">
        <v>45838</v>
      </c>
      <c r="I1688" t="str">
        <f>VLOOKUP(G1688,Kostenstellen!$A$1:$C$17,2,0)</f>
        <v>Recruiting</v>
      </c>
    </row>
    <row r="1689" spans="1:9" x14ac:dyDescent="0.2">
      <c r="A1689">
        <v>6782</v>
      </c>
      <c r="B1689" s="7">
        <v>45839</v>
      </c>
      <c r="C1689" t="s">
        <v>1633</v>
      </c>
      <c r="D1689" t="s">
        <v>1634</v>
      </c>
      <c r="E1689" s="6">
        <v>4500</v>
      </c>
      <c r="G1689">
        <v>220</v>
      </c>
      <c r="H1689" s="7">
        <v>45838</v>
      </c>
      <c r="I1689" t="str">
        <f>VLOOKUP(G1689,Kostenstellen!$A$1:$C$17,2,0)</f>
        <v>Product</v>
      </c>
    </row>
    <row r="1690" spans="1:9" x14ac:dyDescent="0.2">
      <c r="A1690">
        <v>6782</v>
      </c>
      <c r="B1690" s="7">
        <v>45839</v>
      </c>
      <c r="C1690" t="s">
        <v>1635</v>
      </c>
      <c r="D1690" t="s">
        <v>1636</v>
      </c>
      <c r="E1690" s="6">
        <v>8500</v>
      </c>
      <c r="G1690">
        <v>200</v>
      </c>
      <c r="H1690" s="7">
        <v>45838</v>
      </c>
      <c r="I1690" t="str">
        <f>VLOOKUP(G1690,Kostenstellen!$A$1:$C$17,2,0)</f>
        <v>aqua</v>
      </c>
    </row>
    <row r="1691" spans="1:9" x14ac:dyDescent="0.2">
      <c r="A1691">
        <v>6782</v>
      </c>
      <c r="B1691" s="7">
        <v>45870</v>
      </c>
      <c r="C1691" t="s">
        <v>1637</v>
      </c>
      <c r="D1691" t="s">
        <v>1638</v>
      </c>
      <c r="E1691" s="6">
        <v>1639</v>
      </c>
      <c r="G1691">
        <v>202</v>
      </c>
      <c r="H1691" s="7">
        <v>45839</v>
      </c>
      <c r="I1691" t="str">
        <f>VLOOKUP(G1691,Kostenstellen!$A$1:$C$17,2,0)</f>
        <v>Recruiting</v>
      </c>
    </row>
    <row r="1692" spans="1:9" x14ac:dyDescent="0.2">
      <c r="A1692">
        <v>6782</v>
      </c>
      <c r="B1692" s="7">
        <v>45870</v>
      </c>
      <c r="C1692" t="s">
        <v>1639</v>
      </c>
      <c r="D1692" t="s">
        <v>1640</v>
      </c>
      <c r="E1692" s="6">
        <v>4500</v>
      </c>
      <c r="G1692">
        <v>220</v>
      </c>
      <c r="H1692" s="7">
        <v>45839</v>
      </c>
      <c r="I1692" t="str">
        <f>VLOOKUP(G1692,Kostenstellen!$A$1:$C$17,2,0)</f>
        <v>Product</v>
      </c>
    </row>
    <row r="1693" spans="1:9" x14ac:dyDescent="0.2">
      <c r="A1693">
        <v>6782</v>
      </c>
      <c r="B1693" s="7">
        <v>45870</v>
      </c>
      <c r="C1693" t="s">
        <v>1641</v>
      </c>
      <c r="D1693" t="s">
        <v>1642</v>
      </c>
      <c r="E1693" s="6">
        <v>8500</v>
      </c>
      <c r="G1693">
        <v>200</v>
      </c>
      <c r="H1693" s="7">
        <v>45839</v>
      </c>
      <c r="I1693" t="str">
        <f>VLOOKUP(G1693,Kostenstellen!$A$1:$C$17,2,0)</f>
        <v>aqua</v>
      </c>
    </row>
    <row r="1694" spans="1:9" x14ac:dyDescent="0.2">
      <c r="A1694">
        <v>6782</v>
      </c>
      <c r="B1694" s="7">
        <v>45901</v>
      </c>
      <c r="C1694" t="s">
        <v>1643</v>
      </c>
      <c r="D1694" t="s">
        <v>1644</v>
      </c>
      <c r="E1694" s="6">
        <v>1679</v>
      </c>
      <c r="G1694">
        <v>202</v>
      </c>
      <c r="H1694" s="7">
        <v>45870</v>
      </c>
      <c r="I1694" t="str">
        <f>VLOOKUP(G1694,Kostenstellen!$A$1:$C$17,2,0)</f>
        <v>Recruiting</v>
      </c>
    </row>
    <row r="1695" spans="1:9" x14ac:dyDescent="0.2">
      <c r="A1695">
        <v>6782</v>
      </c>
      <c r="B1695" s="7">
        <v>45901</v>
      </c>
      <c r="C1695" t="s">
        <v>1645</v>
      </c>
      <c r="D1695" t="s">
        <v>1646</v>
      </c>
      <c r="E1695" s="6">
        <v>4500</v>
      </c>
      <c r="G1695">
        <v>220</v>
      </c>
      <c r="H1695" s="7">
        <v>45870</v>
      </c>
      <c r="I1695" t="str">
        <f>VLOOKUP(G1695,Kostenstellen!$A$1:$C$17,2,0)</f>
        <v>Product</v>
      </c>
    </row>
    <row r="1696" spans="1:9" x14ac:dyDescent="0.2">
      <c r="A1696">
        <v>6782</v>
      </c>
      <c r="B1696" s="7">
        <v>45901</v>
      </c>
      <c r="C1696" t="s">
        <v>1647</v>
      </c>
      <c r="D1696" t="s">
        <v>1648</v>
      </c>
      <c r="E1696" s="6">
        <v>8500</v>
      </c>
      <c r="G1696">
        <v>200</v>
      </c>
      <c r="H1696" s="7">
        <v>45870</v>
      </c>
      <c r="I1696" t="str">
        <f>VLOOKUP(G1696,Kostenstellen!$A$1:$C$17,2,0)</f>
        <v>aqua</v>
      </c>
    </row>
    <row r="1697" spans="1:9" x14ac:dyDescent="0.2">
      <c r="A1697">
        <v>6782</v>
      </c>
      <c r="B1697" s="7">
        <v>45931</v>
      </c>
      <c r="C1697" t="s">
        <v>1649</v>
      </c>
      <c r="D1697" t="s">
        <v>1650</v>
      </c>
      <c r="E1697" s="6">
        <v>1639</v>
      </c>
      <c r="G1697">
        <v>202</v>
      </c>
      <c r="H1697" s="7">
        <v>45901</v>
      </c>
      <c r="I1697" t="str">
        <f>VLOOKUP(G1697,Kostenstellen!$A$1:$C$17,2,0)</f>
        <v>Recruiting</v>
      </c>
    </row>
    <row r="1698" spans="1:9" x14ac:dyDescent="0.2">
      <c r="A1698">
        <v>6782</v>
      </c>
      <c r="B1698" s="7">
        <v>45931</v>
      </c>
      <c r="C1698" t="s">
        <v>1651</v>
      </c>
      <c r="D1698" t="s">
        <v>1652</v>
      </c>
      <c r="E1698" s="6">
        <v>4500</v>
      </c>
      <c r="G1698">
        <v>220</v>
      </c>
      <c r="H1698" s="7">
        <v>45901</v>
      </c>
      <c r="I1698" t="str">
        <f>VLOOKUP(G1698,Kostenstellen!$A$1:$C$17,2,0)</f>
        <v>Product</v>
      </c>
    </row>
    <row r="1699" spans="1:9" x14ac:dyDescent="0.2">
      <c r="A1699">
        <v>6782</v>
      </c>
      <c r="B1699" s="7">
        <v>45931</v>
      </c>
      <c r="C1699" t="s">
        <v>1653</v>
      </c>
      <c r="D1699" t="s">
        <v>1654</v>
      </c>
      <c r="E1699" s="6">
        <v>8500</v>
      </c>
      <c r="G1699">
        <v>200</v>
      </c>
      <c r="H1699" s="7">
        <v>45901</v>
      </c>
      <c r="I1699" t="str">
        <f>VLOOKUP(G1699,Kostenstellen!$A$1:$C$17,2,0)</f>
        <v>aqua</v>
      </c>
    </row>
    <row r="1700" spans="1:9" x14ac:dyDescent="0.2">
      <c r="A1700">
        <v>6782</v>
      </c>
      <c r="B1700" s="7">
        <v>45962</v>
      </c>
      <c r="C1700" t="s">
        <v>1655</v>
      </c>
      <c r="D1700" t="s">
        <v>1656</v>
      </c>
      <c r="E1700" s="6">
        <v>1639</v>
      </c>
      <c r="G1700">
        <v>202</v>
      </c>
      <c r="H1700" s="7">
        <v>45931</v>
      </c>
      <c r="I1700" t="str">
        <f>VLOOKUP(G1700,Kostenstellen!$A$1:$C$17,2,0)</f>
        <v>Recruiting</v>
      </c>
    </row>
    <row r="1701" spans="1:9" x14ac:dyDescent="0.2">
      <c r="A1701">
        <v>6782</v>
      </c>
      <c r="B1701" s="7">
        <v>45962</v>
      </c>
      <c r="C1701" t="s">
        <v>1657</v>
      </c>
      <c r="D1701" t="s">
        <v>1658</v>
      </c>
      <c r="E1701" s="6">
        <v>4500</v>
      </c>
      <c r="G1701">
        <v>220</v>
      </c>
      <c r="H1701" s="7">
        <v>45931</v>
      </c>
      <c r="I1701" t="str">
        <f>VLOOKUP(G1701,Kostenstellen!$A$1:$C$17,2,0)</f>
        <v>Product</v>
      </c>
    </row>
    <row r="1702" spans="1:9" x14ac:dyDescent="0.2">
      <c r="A1702">
        <v>6782</v>
      </c>
      <c r="B1702" s="7">
        <v>45962</v>
      </c>
      <c r="C1702" t="s">
        <v>1659</v>
      </c>
      <c r="D1702" t="s">
        <v>1660</v>
      </c>
      <c r="E1702" s="6">
        <v>8500</v>
      </c>
      <c r="G1702">
        <v>200</v>
      </c>
      <c r="H1702" s="7">
        <v>45931</v>
      </c>
      <c r="I1702" t="str">
        <f>VLOOKUP(G1702,Kostenstellen!$A$1:$C$17,2,0)</f>
        <v>aqua</v>
      </c>
    </row>
    <row r="1703" spans="1:9" x14ac:dyDescent="0.2">
      <c r="A1703">
        <v>6782</v>
      </c>
      <c r="B1703" s="7">
        <v>45992</v>
      </c>
      <c r="C1703" t="s">
        <v>1661</v>
      </c>
      <c r="D1703" t="s">
        <v>1662</v>
      </c>
      <c r="E1703" s="6">
        <v>1639</v>
      </c>
      <c r="G1703">
        <v>202</v>
      </c>
      <c r="H1703" s="7">
        <v>45962</v>
      </c>
      <c r="I1703" t="str">
        <f>VLOOKUP(G1703,Kostenstellen!$A$1:$C$17,2,0)</f>
        <v>Recruiting</v>
      </c>
    </row>
    <row r="1704" spans="1:9" x14ac:dyDescent="0.2">
      <c r="A1704">
        <v>6782</v>
      </c>
      <c r="B1704" s="7">
        <v>45992</v>
      </c>
      <c r="C1704" t="s">
        <v>1663</v>
      </c>
      <c r="D1704" t="s">
        <v>1664</v>
      </c>
      <c r="E1704" s="6">
        <v>6750</v>
      </c>
      <c r="G1704">
        <v>220</v>
      </c>
      <c r="H1704" s="7">
        <v>45962</v>
      </c>
      <c r="I1704" t="str">
        <f>VLOOKUP(G1704,Kostenstellen!$A$1:$C$17,2,0)</f>
        <v>Product</v>
      </c>
    </row>
    <row r="1705" spans="1:9" x14ac:dyDescent="0.2">
      <c r="A1705">
        <v>6782</v>
      </c>
      <c r="B1705" s="7">
        <v>45992</v>
      </c>
      <c r="C1705" t="s">
        <v>1665</v>
      </c>
      <c r="D1705" t="s">
        <v>1666</v>
      </c>
      <c r="E1705" s="6">
        <v>12873.25</v>
      </c>
      <c r="G1705">
        <v>200</v>
      </c>
      <c r="H1705" s="7">
        <v>45962</v>
      </c>
      <c r="I1705" t="str">
        <f>VLOOKUP(G1705,Kostenstellen!$A$1:$C$17,2,0)</f>
        <v>aqua</v>
      </c>
    </row>
    <row r="1706" spans="1:9" x14ac:dyDescent="0.2">
      <c r="A1706">
        <v>6782</v>
      </c>
      <c r="B1706" s="7">
        <v>46023</v>
      </c>
      <c r="C1706" t="s">
        <v>1667</v>
      </c>
      <c r="D1706" t="s">
        <v>1668</v>
      </c>
      <c r="E1706" s="6">
        <v>1739</v>
      </c>
      <c r="G1706">
        <v>202</v>
      </c>
      <c r="H1706" s="7">
        <v>45992</v>
      </c>
      <c r="I1706" t="str">
        <f>VLOOKUP(G1706,Kostenstellen!$A$1:$C$17,2,0)</f>
        <v>Recruiting</v>
      </c>
    </row>
    <row r="1707" spans="1:9" x14ac:dyDescent="0.2">
      <c r="A1707">
        <v>6800</v>
      </c>
      <c r="B1707" s="7">
        <v>45688</v>
      </c>
      <c r="C1707" t="s">
        <v>1669</v>
      </c>
      <c r="D1707">
        <v>325000100</v>
      </c>
      <c r="E1707">
        <v>102.18</v>
      </c>
      <c r="G1707">
        <v>200</v>
      </c>
      <c r="I1707" t="str">
        <f>VLOOKUP(G1707,Kostenstellen!$A$1:$C$17,2,0)</f>
        <v>aqua</v>
      </c>
    </row>
    <row r="1708" spans="1:9" x14ac:dyDescent="0.2">
      <c r="A1708">
        <v>6800</v>
      </c>
      <c r="B1708" s="7">
        <v>45698</v>
      </c>
      <c r="C1708" t="s">
        <v>1670</v>
      </c>
      <c r="D1708">
        <v>325000144</v>
      </c>
      <c r="E1708">
        <v>15.12</v>
      </c>
      <c r="G1708">
        <v>200</v>
      </c>
      <c r="I1708" t="str">
        <f>VLOOKUP(G1708,Kostenstellen!$A$1:$C$17,2,0)</f>
        <v>aqua</v>
      </c>
    </row>
    <row r="1709" spans="1:9" x14ac:dyDescent="0.2">
      <c r="A1709">
        <v>6800</v>
      </c>
      <c r="B1709" s="7">
        <v>45841</v>
      </c>
      <c r="C1709" t="s">
        <v>1671</v>
      </c>
      <c r="D1709">
        <v>4141717758</v>
      </c>
      <c r="E1709">
        <v>1.8</v>
      </c>
      <c r="G1709">
        <v>230</v>
      </c>
      <c r="I1709" t="str">
        <f>VLOOKUP(G1709,Kostenstellen!$A$1:$C$17,2,0)</f>
        <v>Sales</v>
      </c>
    </row>
    <row r="1710" spans="1:9" x14ac:dyDescent="0.2">
      <c r="A1710">
        <v>6800</v>
      </c>
      <c r="B1710" s="7">
        <v>45959</v>
      </c>
      <c r="C1710" t="s">
        <v>1672</v>
      </c>
      <c r="D1710">
        <v>868504931</v>
      </c>
      <c r="E1710">
        <v>9.84</v>
      </c>
      <c r="G1710">
        <v>235</v>
      </c>
      <c r="H1710" s="7">
        <v>45954</v>
      </c>
      <c r="I1710" t="str">
        <f>VLOOKUP(G1710,Kostenstellen!$A$1:$C$17,2,0)</f>
        <v>Marketing</v>
      </c>
    </row>
    <row r="1711" spans="1:9" x14ac:dyDescent="0.2">
      <c r="A1711">
        <v>6800</v>
      </c>
      <c r="B1711" s="7">
        <v>46010</v>
      </c>
      <c r="C1711" t="s">
        <v>1673</v>
      </c>
      <c r="D1711">
        <v>325001443</v>
      </c>
      <c r="E1711">
        <v>210.44</v>
      </c>
      <c r="G1711">
        <v>200</v>
      </c>
      <c r="I1711" t="str">
        <f>VLOOKUP(G1711,Kostenstellen!$A$1:$C$17,2,0)</f>
        <v>aqua</v>
      </c>
    </row>
    <row r="1712" spans="1:9" x14ac:dyDescent="0.2">
      <c r="A1712">
        <v>6805</v>
      </c>
      <c r="B1712" s="7">
        <v>45688</v>
      </c>
      <c r="C1712" t="s">
        <v>1674</v>
      </c>
      <c r="D1712">
        <v>20255000001</v>
      </c>
      <c r="E1712">
        <v>500</v>
      </c>
      <c r="G1712">
        <v>200</v>
      </c>
      <c r="I1712" t="str">
        <f>VLOOKUP(G1712,Kostenstellen!$A$1:$C$17,2,0)</f>
        <v>aqua</v>
      </c>
    </row>
    <row r="1713" spans="1:9" x14ac:dyDescent="0.2">
      <c r="A1713">
        <v>6805</v>
      </c>
      <c r="B1713" s="7">
        <v>45693</v>
      </c>
      <c r="C1713" t="s">
        <v>1675</v>
      </c>
      <c r="D1713">
        <v>15220378012711</v>
      </c>
      <c r="E1713">
        <v>266.82</v>
      </c>
      <c r="G1713">
        <v>200</v>
      </c>
      <c r="H1713" s="7">
        <v>45688</v>
      </c>
      <c r="I1713" t="str">
        <f>VLOOKUP(G1713,Kostenstellen!$A$1:$C$17,2,0)</f>
        <v>aqua</v>
      </c>
    </row>
    <row r="1714" spans="1:9" x14ac:dyDescent="0.2">
      <c r="A1714">
        <v>6805</v>
      </c>
      <c r="B1714" s="7">
        <v>45716</v>
      </c>
      <c r="C1714" t="s">
        <v>1674</v>
      </c>
      <c r="D1714">
        <v>20255000001</v>
      </c>
      <c r="E1714">
        <v>500</v>
      </c>
      <c r="G1714">
        <v>200</v>
      </c>
      <c r="I1714" t="str">
        <f>VLOOKUP(G1714,Kostenstellen!$A$1:$C$17,2,0)</f>
        <v>aqua</v>
      </c>
    </row>
    <row r="1715" spans="1:9" x14ac:dyDescent="0.2">
      <c r="A1715">
        <v>6805</v>
      </c>
      <c r="B1715" s="7">
        <v>45721</v>
      </c>
      <c r="C1715" t="s">
        <v>1676</v>
      </c>
      <c r="D1715">
        <v>15279291012711</v>
      </c>
      <c r="E1715">
        <v>266.82</v>
      </c>
      <c r="G1715">
        <v>200</v>
      </c>
      <c r="H1715" s="7">
        <v>45689</v>
      </c>
      <c r="I1715" t="str">
        <f>VLOOKUP(G1715,Kostenstellen!$A$1:$C$17,2,0)</f>
        <v>aqua</v>
      </c>
    </row>
    <row r="1716" spans="1:9" x14ac:dyDescent="0.2">
      <c r="A1716">
        <v>6805</v>
      </c>
      <c r="B1716" s="7">
        <v>45726</v>
      </c>
      <c r="C1716" t="s">
        <v>1677</v>
      </c>
      <c r="D1716">
        <v>1000059676</v>
      </c>
      <c r="E1716">
        <v>59.95</v>
      </c>
      <c r="G1716">
        <v>230</v>
      </c>
      <c r="I1716" t="str">
        <f>VLOOKUP(G1716,Kostenstellen!$A$1:$C$17,2,0)</f>
        <v>Sales</v>
      </c>
    </row>
    <row r="1717" spans="1:9" x14ac:dyDescent="0.2">
      <c r="A1717">
        <v>6805</v>
      </c>
      <c r="B1717" s="7">
        <v>45737</v>
      </c>
      <c r="C1717" t="s">
        <v>1678</v>
      </c>
      <c r="D1717" t="s">
        <v>1679</v>
      </c>
      <c r="E1717">
        <v>120</v>
      </c>
      <c r="G1717">
        <v>230</v>
      </c>
      <c r="I1717" t="str">
        <f>VLOOKUP(G1717,Kostenstellen!$A$1:$C$17,2,0)</f>
        <v>Sales</v>
      </c>
    </row>
    <row r="1718" spans="1:9" x14ac:dyDescent="0.2">
      <c r="A1718">
        <v>6805</v>
      </c>
      <c r="B1718" s="7">
        <v>45747</v>
      </c>
      <c r="C1718" t="s">
        <v>1674</v>
      </c>
      <c r="D1718">
        <v>20255000001</v>
      </c>
      <c r="E1718">
        <v>500</v>
      </c>
      <c r="G1718">
        <v>200</v>
      </c>
      <c r="I1718" t="str">
        <f>VLOOKUP(G1718,Kostenstellen!$A$1:$C$17,2,0)</f>
        <v>aqua</v>
      </c>
    </row>
    <row r="1719" spans="1:9" x14ac:dyDescent="0.2">
      <c r="A1719">
        <v>6805</v>
      </c>
      <c r="B1719" s="7">
        <v>45750</v>
      </c>
      <c r="C1719" t="s">
        <v>1680</v>
      </c>
      <c r="D1719">
        <v>15337698012711</v>
      </c>
      <c r="E1719">
        <v>266.82</v>
      </c>
      <c r="G1719">
        <v>200</v>
      </c>
      <c r="H1719" s="7">
        <v>45717</v>
      </c>
      <c r="I1719" t="str">
        <f>VLOOKUP(G1719,Kostenstellen!$A$1:$C$17,2,0)</f>
        <v>aqua</v>
      </c>
    </row>
    <row r="1720" spans="1:9" x14ac:dyDescent="0.2">
      <c r="A1720">
        <v>6805</v>
      </c>
      <c r="B1720" s="7">
        <v>45777</v>
      </c>
      <c r="C1720" t="s">
        <v>1674</v>
      </c>
      <c r="D1720">
        <v>20255000001</v>
      </c>
      <c r="E1720">
        <v>500</v>
      </c>
      <c r="G1720">
        <v>200</v>
      </c>
      <c r="I1720" t="str">
        <f>VLOOKUP(G1720,Kostenstellen!$A$1:$C$17,2,0)</f>
        <v>aqua</v>
      </c>
    </row>
    <row r="1721" spans="1:9" x14ac:dyDescent="0.2">
      <c r="A1721">
        <v>6805</v>
      </c>
      <c r="B1721" s="7">
        <v>45783</v>
      </c>
      <c r="C1721" t="s">
        <v>1681</v>
      </c>
      <c r="D1721">
        <v>15395440012711</v>
      </c>
      <c r="E1721">
        <v>266.82</v>
      </c>
      <c r="G1721">
        <v>200</v>
      </c>
      <c r="H1721" s="7">
        <v>45748</v>
      </c>
      <c r="I1721" t="str">
        <f>VLOOKUP(G1721,Kostenstellen!$A$1:$C$17,2,0)</f>
        <v>aqua</v>
      </c>
    </row>
    <row r="1722" spans="1:9" x14ac:dyDescent="0.2">
      <c r="A1722">
        <v>6805</v>
      </c>
      <c r="B1722" s="7">
        <v>45803</v>
      </c>
      <c r="C1722" t="s">
        <v>1678</v>
      </c>
      <c r="D1722" t="s">
        <v>1682</v>
      </c>
      <c r="E1722">
        <v>45.36</v>
      </c>
      <c r="G1722">
        <v>230</v>
      </c>
      <c r="I1722" t="str">
        <f>VLOOKUP(G1722,Kostenstellen!$A$1:$C$17,2,0)</f>
        <v>Sales</v>
      </c>
    </row>
    <row r="1723" spans="1:9" x14ac:dyDescent="0.2">
      <c r="A1723">
        <v>6805</v>
      </c>
      <c r="B1723" s="7">
        <v>45808</v>
      </c>
      <c r="C1723" t="s">
        <v>1674</v>
      </c>
      <c r="D1723">
        <v>20255000001</v>
      </c>
      <c r="E1723">
        <v>500</v>
      </c>
      <c r="G1723">
        <v>200</v>
      </c>
      <c r="I1723" t="str">
        <f>VLOOKUP(G1723,Kostenstellen!$A$1:$C$17,2,0)</f>
        <v>aqua</v>
      </c>
    </row>
    <row r="1724" spans="1:9" x14ac:dyDescent="0.2">
      <c r="A1724">
        <v>6805</v>
      </c>
      <c r="B1724" s="7">
        <v>45812</v>
      </c>
      <c r="C1724" t="s">
        <v>1683</v>
      </c>
      <c r="D1724">
        <v>15453521012711</v>
      </c>
      <c r="E1724">
        <v>267.07</v>
      </c>
      <c r="G1724">
        <v>200</v>
      </c>
      <c r="H1724" s="7">
        <v>45778</v>
      </c>
      <c r="I1724" t="str">
        <f>VLOOKUP(G1724,Kostenstellen!$A$1:$C$17,2,0)</f>
        <v>aqua</v>
      </c>
    </row>
    <row r="1725" spans="1:9" x14ac:dyDescent="0.2">
      <c r="A1725">
        <v>6805</v>
      </c>
      <c r="B1725" s="7">
        <v>45814</v>
      </c>
      <c r="C1725" t="s">
        <v>1678</v>
      </c>
      <c r="D1725">
        <v>13539</v>
      </c>
      <c r="E1725">
        <v>100</v>
      </c>
      <c r="G1725">
        <v>230</v>
      </c>
      <c r="I1725" t="str">
        <f>VLOOKUP(G1725,Kostenstellen!$A$1:$C$17,2,0)</f>
        <v>Sales</v>
      </c>
    </row>
    <row r="1726" spans="1:9" x14ac:dyDescent="0.2">
      <c r="A1726">
        <v>6805</v>
      </c>
      <c r="B1726" s="7">
        <v>45828</v>
      </c>
      <c r="C1726" t="s">
        <v>1678</v>
      </c>
      <c r="D1726" t="s">
        <v>1684</v>
      </c>
      <c r="E1726" s="6">
        <v>1435.87</v>
      </c>
      <c r="G1726">
        <v>230</v>
      </c>
      <c r="I1726" t="str">
        <f>VLOOKUP(G1726,Kostenstellen!$A$1:$C$17,2,0)</f>
        <v>Sales</v>
      </c>
    </row>
    <row r="1727" spans="1:9" x14ac:dyDescent="0.2">
      <c r="A1727">
        <v>6805</v>
      </c>
      <c r="B1727" s="7">
        <v>45838</v>
      </c>
      <c r="C1727" t="s">
        <v>1674</v>
      </c>
      <c r="D1727">
        <v>20255000001</v>
      </c>
      <c r="E1727">
        <v>500</v>
      </c>
      <c r="G1727">
        <v>200</v>
      </c>
      <c r="I1727" t="str">
        <f>VLOOKUP(G1727,Kostenstellen!$A$1:$C$17,2,0)</f>
        <v>aqua</v>
      </c>
    </row>
    <row r="1728" spans="1:9" x14ac:dyDescent="0.2">
      <c r="A1728">
        <v>6805</v>
      </c>
      <c r="B1728" s="7">
        <v>45841</v>
      </c>
      <c r="C1728" t="s">
        <v>1685</v>
      </c>
      <c r="D1728">
        <v>15510530012711</v>
      </c>
      <c r="E1728">
        <v>266.82</v>
      </c>
      <c r="G1728">
        <v>200</v>
      </c>
      <c r="H1728" s="7">
        <v>45838</v>
      </c>
      <c r="I1728" t="str">
        <f>VLOOKUP(G1728,Kostenstellen!$A$1:$C$17,2,0)</f>
        <v>aqua</v>
      </c>
    </row>
    <row r="1729" spans="1:9" x14ac:dyDescent="0.2">
      <c r="A1729">
        <v>6805</v>
      </c>
      <c r="B1729" s="7">
        <v>45869</v>
      </c>
      <c r="C1729" t="s">
        <v>1674</v>
      </c>
      <c r="D1729">
        <v>20255000001</v>
      </c>
      <c r="E1729">
        <v>500</v>
      </c>
      <c r="G1729">
        <v>200</v>
      </c>
      <c r="I1729" t="str">
        <f>VLOOKUP(G1729,Kostenstellen!$A$1:$C$17,2,0)</f>
        <v>aqua</v>
      </c>
    </row>
    <row r="1730" spans="1:9" x14ac:dyDescent="0.2">
      <c r="A1730">
        <v>6805</v>
      </c>
      <c r="B1730" s="7">
        <v>45874</v>
      </c>
      <c r="C1730" t="s">
        <v>1686</v>
      </c>
      <c r="D1730">
        <v>15567250012711</v>
      </c>
      <c r="E1730">
        <v>266.82</v>
      </c>
      <c r="G1730">
        <v>200</v>
      </c>
      <c r="H1730" s="7">
        <v>45839</v>
      </c>
      <c r="I1730" t="str">
        <f>VLOOKUP(G1730,Kostenstellen!$A$1:$C$17,2,0)</f>
        <v>aqua</v>
      </c>
    </row>
    <row r="1731" spans="1:9" x14ac:dyDescent="0.2">
      <c r="A1731">
        <v>6805</v>
      </c>
      <c r="B1731" s="7">
        <v>45900</v>
      </c>
      <c r="C1731" t="s">
        <v>1674</v>
      </c>
      <c r="D1731">
        <v>20255000001</v>
      </c>
      <c r="E1731">
        <v>500</v>
      </c>
      <c r="G1731">
        <v>200</v>
      </c>
      <c r="I1731" t="str">
        <f>VLOOKUP(G1731,Kostenstellen!$A$1:$C$17,2,0)</f>
        <v>aqua</v>
      </c>
    </row>
    <row r="1732" spans="1:9" x14ac:dyDescent="0.2">
      <c r="A1732">
        <v>6805</v>
      </c>
      <c r="B1732" s="7">
        <v>45903</v>
      </c>
      <c r="C1732" t="s">
        <v>1687</v>
      </c>
      <c r="D1732">
        <v>15623760012711</v>
      </c>
      <c r="E1732">
        <v>272.95</v>
      </c>
      <c r="G1732">
        <v>200</v>
      </c>
      <c r="H1732" s="7">
        <v>45870</v>
      </c>
      <c r="I1732" t="str">
        <f>VLOOKUP(G1732,Kostenstellen!$A$1:$C$17,2,0)</f>
        <v>aqua</v>
      </c>
    </row>
    <row r="1733" spans="1:9" x14ac:dyDescent="0.2">
      <c r="A1733">
        <v>6805</v>
      </c>
      <c r="B1733" s="7">
        <v>45922</v>
      </c>
      <c r="C1733" t="s">
        <v>1678</v>
      </c>
      <c r="D1733" t="s">
        <v>1688</v>
      </c>
      <c r="E1733">
        <v>50</v>
      </c>
      <c r="G1733">
        <v>230</v>
      </c>
      <c r="I1733" t="str">
        <f>VLOOKUP(G1733,Kostenstellen!$A$1:$C$17,2,0)</f>
        <v>Sales</v>
      </c>
    </row>
    <row r="1734" spans="1:9" x14ac:dyDescent="0.2">
      <c r="A1734">
        <v>6805</v>
      </c>
      <c r="B1734" s="7">
        <v>45930</v>
      </c>
      <c r="C1734" t="s">
        <v>1674</v>
      </c>
      <c r="D1734">
        <v>20255000001</v>
      </c>
      <c r="E1734">
        <v>500</v>
      </c>
      <c r="G1734">
        <v>200</v>
      </c>
      <c r="I1734" t="str">
        <f>VLOOKUP(G1734,Kostenstellen!$A$1:$C$17,2,0)</f>
        <v>aqua</v>
      </c>
    </row>
    <row r="1735" spans="1:9" x14ac:dyDescent="0.2">
      <c r="A1735">
        <v>6805</v>
      </c>
      <c r="B1735" s="7">
        <v>45936</v>
      </c>
      <c r="C1735" t="s">
        <v>1689</v>
      </c>
      <c r="D1735">
        <v>15679812012711</v>
      </c>
      <c r="E1735">
        <v>266.82</v>
      </c>
      <c r="G1735">
        <v>200</v>
      </c>
      <c r="H1735" s="7">
        <v>45901</v>
      </c>
      <c r="I1735" t="str">
        <f>VLOOKUP(G1735,Kostenstellen!$A$1:$C$17,2,0)</f>
        <v>aqua</v>
      </c>
    </row>
    <row r="1736" spans="1:9" x14ac:dyDescent="0.2">
      <c r="A1736">
        <v>6805</v>
      </c>
      <c r="B1736" s="7">
        <v>45961</v>
      </c>
      <c r="C1736" t="s">
        <v>1674</v>
      </c>
      <c r="D1736">
        <v>20255000001</v>
      </c>
      <c r="E1736">
        <v>500</v>
      </c>
      <c r="G1736">
        <v>200</v>
      </c>
      <c r="I1736" t="str">
        <f>VLOOKUP(G1736,Kostenstellen!$A$1:$C$17,2,0)</f>
        <v>aqua</v>
      </c>
    </row>
    <row r="1737" spans="1:9" x14ac:dyDescent="0.2">
      <c r="A1737">
        <v>6805</v>
      </c>
      <c r="B1737" s="7">
        <v>45966</v>
      </c>
      <c r="C1737" t="s">
        <v>1690</v>
      </c>
      <c r="D1737">
        <v>15735357012711</v>
      </c>
      <c r="E1737">
        <v>269.02</v>
      </c>
      <c r="G1737">
        <v>200</v>
      </c>
      <c r="H1737" s="7">
        <v>45931</v>
      </c>
      <c r="I1737" t="str">
        <f>VLOOKUP(G1737,Kostenstellen!$A$1:$C$17,2,0)</f>
        <v>aqua</v>
      </c>
    </row>
    <row r="1738" spans="1:9" x14ac:dyDescent="0.2">
      <c r="A1738">
        <v>6805</v>
      </c>
      <c r="B1738" s="7">
        <v>45971</v>
      </c>
      <c r="C1738" t="s">
        <v>1678</v>
      </c>
      <c r="D1738" t="s">
        <v>1691</v>
      </c>
      <c r="E1738">
        <v>50</v>
      </c>
      <c r="G1738">
        <v>230</v>
      </c>
      <c r="H1738" s="7">
        <v>45967</v>
      </c>
      <c r="I1738" t="str">
        <f>VLOOKUP(G1738,Kostenstellen!$A$1:$C$17,2,0)</f>
        <v>Sales</v>
      </c>
    </row>
    <row r="1739" spans="1:9" x14ac:dyDescent="0.2">
      <c r="A1739">
        <v>6805</v>
      </c>
      <c r="B1739" s="7">
        <v>45991</v>
      </c>
      <c r="C1739" t="s">
        <v>1674</v>
      </c>
      <c r="D1739">
        <v>20255000001</v>
      </c>
      <c r="E1739">
        <v>500</v>
      </c>
      <c r="G1739">
        <v>200</v>
      </c>
      <c r="I1739" t="str">
        <f>VLOOKUP(G1739,Kostenstellen!$A$1:$C$17,2,0)</f>
        <v>aqua</v>
      </c>
    </row>
    <row r="1740" spans="1:9" x14ac:dyDescent="0.2">
      <c r="A1740">
        <v>6805</v>
      </c>
      <c r="B1740" s="7">
        <v>45994</v>
      </c>
      <c r="C1740" t="s">
        <v>1692</v>
      </c>
      <c r="D1740">
        <v>15791754012711</v>
      </c>
      <c r="E1740">
        <v>271.8</v>
      </c>
      <c r="G1740">
        <v>200</v>
      </c>
      <c r="H1740" s="7">
        <v>45962</v>
      </c>
      <c r="I1740" t="str">
        <f>VLOOKUP(G1740,Kostenstellen!$A$1:$C$17,2,0)</f>
        <v>aqua</v>
      </c>
    </row>
    <row r="1741" spans="1:9" x14ac:dyDescent="0.2">
      <c r="A1741">
        <v>6805</v>
      </c>
      <c r="B1741" s="7">
        <v>46001</v>
      </c>
      <c r="C1741" t="s">
        <v>1678</v>
      </c>
      <c r="D1741" t="s">
        <v>1693</v>
      </c>
      <c r="E1741">
        <v>61.4</v>
      </c>
      <c r="G1741">
        <v>230</v>
      </c>
      <c r="H1741" s="7">
        <v>45999</v>
      </c>
      <c r="I1741" t="str">
        <f>VLOOKUP(G1741,Kostenstellen!$A$1:$C$17,2,0)</f>
        <v>Sales</v>
      </c>
    </row>
    <row r="1742" spans="1:9" x14ac:dyDescent="0.2">
      <c r="A1742">
        <v>6805</v>
      </c>
      <c r="B1742" s="7">
        <v>46022</v>
      </c>
      <c r="C1742" t="s">
        <v>1674</v>
      </c>
      <c r="D1742">
        <v>20255000001</v>
      </c>
      <c r="E1742">
        <v>500</v>
      </c>
      <c r="G1742">
        <v>200</v>
      </c>
      <c r="I1742" t="str">
        <f>VLOOKUP(G1742,Kostenstellen!$A$1:$C$17,2,0)</f>
        <v>aqua</v>
      </c>
    </row>
    <row r="1743" spans="1:9" x14ac:dyDescent="0.2">
      <c r="A1743">
        <v>6805</v>
      </c>
      <c r="B1743" s="7">
        <v>46029</v>
      </c>
      <c r="C1743" t="s">
        <v>1694</v>
      </c>
      <c r="D1743">
        <v>15846499012711</v>
      </c>
      <c r="E1743">
        <v>266.82</v>
      </c>
      <c r="G1743">
        <v>200</v>
      </c>
      <c r="H1743" s="7">
        <v>45992</v>
      </c>
      <c r="I1743" t="str">
        <f>VLOOKUP(G1743,Kostenstellen!$A$1:$C$17,2,0)</f>
        <v>aqua</v>
      </c>
    </row>
    <row r="1744" spans="1:9" x14ac:dyDescent="0.2">
      <c r="A1744">
        <v>6811</v>
      </c>
      <c r="B1744" s="7">
        <v>45659</v>
      </c>
      <c r="C1744" t="s">
        <v>617</v>
      </c>
      <c r="D1744">
        <v>501681925</v>
      </c>
      <c r="E1744">
        <v>46.39</v>
      </c>
      <c r="G1744">
        <v>210</v>
      </c>
      <c r="I1744" t="str">
        <f>VLOOKUP(G1744,Kostenstellen!$A$1:$C$17,2,0)</f>
        <v>Dev</v>
      </c>
    </row>
    <row r="1745" spans="1:9" x14ac:dyDescent="0.2">
      <c r="A1745">
        <v>6811</v>
      </c>
      <c r="B1745" s="7">
        <v>45659</v>
      </c>
      <c r="C1745" t="s">
        <v>1695</v>
      </c>
      <c r="D1745">
        <v>5152669156</v>
      </c>
      <c r="E1745">
        <v>0.37</v>
      </c>
      <c r="G1745">
        <v>210</v>
      </c>
      <c r="I1745" t="str">
        <f>VLOOKUP(G1745,Kostenstellen!$A$1:$C$17,2,0)</f>
        <v>Dev</v>
      </c>
    </row>
    <row r="1746" spans="1:9" x14ac:dyDescent="0.2">
      <c r="A1746">
        <v>6811</v>
      </c>
      <c r="B1746" s="7">
        <v>45659</v>
      </c>
      <c r="C1746" t="s">
        <v>1696</v>
      </c>
      <c r="D1746" t="s">
        <v>1697</v>
      </c>
      <c r="E1746">
        <v>79.48</v>
      </c>
      <c r="G1746">
        <v>210</v>
      </c>
      <c r="I1746" t="str">
        <f>VLOOKUP(G1746,Kostenstellen!$A$1:$C$17,2,0)</f>
        <v>Dev</v>
      </c>
    </row>
    <row r="1747" spans="1:9" x14ac:dyDescent="0.2">
      <c r="A1747">
        <v>6811</v>
      </c>
      <c r="B1747" s="7">
        <v>45659</v>
      </c>
      <c r="C1747" t="s">
        <v>1698</v>
      </c>
      <c r="D1747" t="s">
        <v>1699</v>
      </c>
      <c r="E1747">
        <v>5.43</v>
      </c>
      <c r="G1747">
        <v>210</v>
      </c>
      <c r="I1747" t="str">
        <f>VLOOKUP(G1747,Kostenstellen!$A$1:$C$17,2,0)</f>
        <v>Dev</v>
      </c>
    </row>
    <row r="1748" spans="1:9" x14ac:dyDescent="0.2">
      <c r="A1748">
        <v>6811</v>
      </c>
      <c r="B1748" s="7">
        <v>45660</v>
      </c>
      <c r="C1748" t="s">
        <v>1700</v>
      </c>
      <c r="D1748" t="s">
        <v>1701</v>
      </c>
      <c r="E1748">
        <v>26.68</v>
      </c>
      <c r="G1748">
        <v>220</v>
      </c>
      <c r="I1748" t="str">
        <f>VLOOKUP(G1748,Kostenstellen!$A$1:$C$17,2,0)</f>
        <v>Product</v>
      </c>
    </row>
    <row r="1749" spans="1:9" x14ac:dyDescent="0.2">
      <c r="A1749">
        <v>6811</v>
      </c>
      <c r="B1749" s="7">
        <v>45667</v>
      </c>
      <c r="C1749" t="s">
        <v>1702</v>
      </c>
      <c r="D1749" t="s">
        <v>1703</v>
      </c>
      <c r="E1749">
        <v>91.18</v>
      </c>
      <c r="G1749">
        <v>210</v>
      </c>
      <c r="I1749" t="str">
        <f>VLOOKUP(G1749,Kostenstellen!$A$1:$C$17,2,0)</f>
        <v>Dev</v>
      </c>
    </row>
    <row r="1750" spans="1:9" x14ac:dyDescent="0.2">
      <c r="A1750">
        <v>6811</v>
      </c>
      <c r="B1750" s="7">
        <v>45667</v>
      </c>
      <c r="C1750" t="s">
        <v>1704</v>
      </c>
      <c r="D1750" t="s">
        <v>1705</v>
      </c>
      <c r="E1750">
        <v>8.4</v>
      </c>
      <c r="G1750">
        <v>210</v>
      </c>
      <c r="I1750" t="str">
        <f>VLOOKUP(G1750,Kostenstellen!$A$1:$C$17,2,0)</f>
        <v>Dev</v>
      </c>
    </row>
    <row r="1751" spans="1:9" x14ac:dyDescent="0.2">
      <c r="A1751">
        <v>6811</v>
      </c>
      <c r="B1751" s="7">
        <v>45678</v>
      </c>
      <c r="C1751" t="s">
        <v>1706</v>
      </c>
      <c r="D1751" t="s">
        <v>1707</v>
      </c>
      <c r="E1751">
        <v>92.44</v>
      </c>
      <c r="G1751">
        <v>210</v>
      </c>
      <c r="I1751" t="str">
        <f>VLOOKUP(G1751,Kostenstellen!$A$1:$C$17,2,0)</f>
        <v>Dev</v>
      </c>
    </row>
    <row r="1752" spans="1:9" x14ac:dyDescent="0.2">
      <c r="A1752">
        <v>6811</v>
      </c>
      <c r="B1752" s="7">
        <v>45684</v>
      </c>
      <c r="C1752" t="s">
        <v>1708</v>
      </c>
      <c r="D1752" t="s">
        <v>1709</v>
      </c>
      <c r="E1752" s="6">
        <v>6070.48</v>
      </c>
      <c r="G1752">
        <v>210</v>
      </c>
      <c r="I1752" t="str">
        <f>VLOOKUP(G1752,Kostenstellen!$A$1:$C$17,2,0)</f>
        <v>Dev</v>
      </c>
    </row>
    <row r="1753" spans="1:9" x14ac:dyDescent="0.2">
      <c r="A1753">
        <v>6811</v>
      </c>
      <c r="B1753" s="7">
        <v>45684</v>
      </c>
      <c r="C1753" t="s">
        <v>1710</v>
      </c>
      <c r="D1753" t="s">
        <v>1711</v>
      </c>
      <c r="E1753">
        <v>24.37</v>
      </c>
      <c r="G1753">
        <v>210</v>
      </c>
      <c r="I1753" t="str">
        <f>VLOOKUP(G1753,Kostenstellen!$A$1:$C$17,2,0)</f>
        <v>Dev</v>
      </c>
    </row>
    <row r="1754" spans="1:9" x14ac:dyDescent="0.2">
      <c r="A1754">
        <v>6811</v>
      </c>
      <c r="B1754" s="7">
        <v>45690</v>
      </c>
      <c r="C1754" t="s">
        <v>1712</v>
      </c>
      <c r="D1754" t="s">
        <v>1713</v>
      </c>
      <c r="E1754">
        <v>95.8</v>
      </c>
      <c r="G1754">
        <v>210</v>
      </c>
      <c r="I1754" t="str">
        <f>VLOOKUP(G1754,Kostenstellen!$A$1:$C$17,2,0)</f>
        <v>Dev</v>
      </c>
    </row>
    <row r="1755" spans="1:9" x14ac:dyDescent="0.2">
      <c r="A1755">
        <v>6811</v>
      </c>
      <c r="B1755" s="7">
        <v>45691</v>
      </c>
      <c r="C1755" t="s">
        <v>617</v>
      </c>
      <c r="D1755">
        <v>504308690</v>
      </c>
      <c r="E1755">
        <v>46.34</v>
      </c>
      <c r="G1755">
        <v>210</v>
      </c>
      <c r="I1755" t="str">
        <f>VLOOKUP(G1755,Kostenstellen!$A$1:$C$17,2,0)</f>
        <v>Dev</v>
      </c>
    </row>
    <row r="1756" spans="1:9" x14ac:dyDescent="0.2">
      <c r="A1756">
        <v>6811</v>
      </c>
      <c r="B1756" s="7">
        <v>45691</v>
      </c>
      <c r="C1756" t="s">
        <v>1714</v>
      </c>
      <c r="D1756">
        <v>5176464712</v>
      </c>
      <c r="E1756">
        <v>0.41</v>
      </c>
      <c r="G1756">
        <v>210</v>
      </c>
      <c r="I1756" t="str">
        <f>VLOOKUP(G1756,Kostenstellen!$A$1:$C$17,2,0)</f>
        <v>Dev</v>
      </c>
    </row>
    <row r="1757" spans="1:9" x14ac:dyDescent="0.2">
      <c r="A1757">
        <v>6811</v>
      </c>
      <c r="B1757" s="7">
        <v>45691</v>
      </c>
      <c r="C1757" t="s">
        <v>1698</v>
      </c>
      <c r="D1757" t="s">
        <v>1715</v>
      </c>
      <c r="E1757">
        <v>5.42</v>
      </c>
      <c r="G1757">
        <v>235</v>
      </c>
      <c r="I1757" t="str">
        <f>VLOOKUP(G1757,Kostenstellen!$A$1:$C$17,2,0)</f>
        <v>Marketing</v>
      </c>
    </row>
    <row r="1758" spans="1:9" x14ac:dyDescent="0.2">
      <c r="A1758">
        <v>6811</v>
      </c>
      <c r="B1758" s="7">
        <v>45691</v>
      </c>
      <c r="C1758" t="s">
        <v>1696</v>
      </c>
      <c r="D1758" t="s">
        <v>1716</v>
      </c>
      <c r="E1758">
        <v>79.599999999999994</v>
      </c>
      <c r="G1758">
        <v>210</v>
      </c>
      <c r="I1758" t="str">
        <f>VLOOKUP(G1758,Kostenstellen!$A$1:$C$17,2,0)</f>
        <v>Dev</v>
      </c>
    </row>
    <row r="1759" spans="1:9" x14ac:dyDescent="0.2">
      <c r="A1759">
        <v>6811</v>
      </c>
      <c r="B1759" s="7">
        <v>45694</v>
      </c>
      <c r="C1759" t="s">
        <v>1717</v>
      </c>
      <c r="D1759" t="s">
        <v>1718</v>
      </c>
      <c r="F1759">
        <v>53.67</v>
      </c>
      <c r="G1759">
        <v>210</v>
      </c>
      <c r="I1759" t="str">
        <f>VLOOKUP(G1759,Kostenstellen!$A$1:$C$17,2,0)</f>
        <v>Dev</v>
      </c>
    </row>
    <row r="1760" spans="1:9" x14ac:dyDescent="0.2">
      <c r="A1760">
        <v>6811</v>
      </c>
      <c r="B1760" s="7">
        <v>45698</v>
      </c>
      <c r="C1760" t="s">
        <v>1719</v>
      </c>
      <c r="D1760" t="s">
        <v>1720</v>
      </c>
      <c r="E1760">
        <v>114.49</v>
      </c>
      <c r="G1760">
        <v>210</v>
      </c>
      <c r="I1760" t="str">
        <f>VLOOKUP(G1760,Kostenstellen!$A$1:$C$17,2,0)</f>
        <v>Dev</v>
      </c>
    </row>
    <row r="1761" spans="1:9" x14ac:dyDescent="0.2">
      <c r="A1761">
        <v>6811</v>
      </c>
      <c r="B1761" s="7">
        <v>45698</v>
      </c>
      <c r="C1761" t="s">
        <v>1721</v>
      </c>
      <c r="D1761" t="s">
        <v>1722</v>
      </c>
      <c r="E1761">
        <v>8.4</v>
      </c>
      <c r="G1761">
        <v>210</v>
      </c>
      <c r="I1761" t="str">
        <f>VLOOKUP(G1761,Kostenstellen!$A$1:$C$17,2,0)</f>
        <v>Dev</v>
      </c>
    </row>
    <row r="1762" spans="1:9" x14ac:dyDescent="0.2">
      <c r="A1762">
        <v>6811</v>
      </c>
      <c r="B1762" s="7">
        <v>45715</v>
      </c>
      <c r="C1762" t="s">
        <v>1723</v>
      </c>
      <c r="D1762" t="s">
        <v>1724</v>
      </c>
      <c r="E1762">
        <v>24.37</v>
      </c>
      <c r="G1762">
        <v>210</v>
      </c>
      <c r="I1762" t="str">
        <f>VLOOKUP(G1762,Kostenstellen!$A$1:$C$17,2,0)</f>
        <v>Dev</v>
      </c>
    </row>
    <row r="1763" spans="1:9" x14ac:dyDescent="0.2">
      <c r="A1763">
        <v>6811</v>
      </c>
      <c r="B1763" s="7">
        <v>45718</v>
      </c>
      <c r="C1763" t="s">
        <v>1725</v>
      </c>
      <c r="D1763" t="s">
        <v>1726</v>
      </c>
      <c r="E1763">
        <v>95.8</v>
      </c>
      <c r="G1763">
        <v>210</v>
      </c>
      <c r="I1763" t="str">
        <f>VLOOKUP(G1763,Kostenstellen!$A$1:$C$17,2,0)</f>
        <v>Dev</v>
      </c>
    </row>
    <row r="1764" spans="1:9" x14ac:dyDescent="0.2">
      <c r="A1764">
        <v>6811</v>
      </c>
      <c r="B1764" s="7">
        <v>45719</v>
      </c>
      <c r="C1764" t="s">
        <v>617</v>
      </c>
      <c r="D1764">
        <v>506601617</v>
      </c>
      <c r="E1764">
        <v>55.04</v>
      </c>
      <c r="G1764">
        <v>210</v>
      </c>
      <c r="I1764" t="str">
        <f>VLOOKUP(G1764,Kostenstellen!$A$1:$C$17,2,0)</f>
        <v>Dev</v>
      </c>
    </row>
    <row r="1765" spans="1:9" x14ac:dyDescent="0.2">
      <c r="A1765">
        <v>6811</v>
      </c>
      <c r="B1765" s="7">
        <v>45719</v>
      </c>
      <c r="C1765" t="s">
        <v>677</v>
      </c>
      <c r="D1765">
        <v>5185372831</v>
      </c>
      <c r="E1765">
        <v>5.2</v>
      </c>
      <c r="G1765">
        <v>230</v>
      </c>
      <c r="I1765" t="str">
        <f>VLOOKUP(G1765,Kostenstellen!$A$1:$C$17,2,0)</f>
        <v>Sales</v>
      </c>
    </row>
    <row r="1766" spans="1:9" x14ac:dyDescent="0.2">
      <c r="A1766">
        <v>6811</v>
      </c>
      <c r="B1766" s="7">
        <v>45719</v>
      </c>
      <c r="C1766" t="s">
        <v>1727</v>
      </c>
      <c r="D1766">
        <v>5191956469</v>
      </c>
      <c r="E1766">
        <v>6.94</v>
      </c>
      <c r="G1766">
        <v>230</v>
      </c>
      <c r="I1766" t="str">
        <f>VLOOKUP(G1766,Kostenstellen!$A$1:$C$17,2,0)</f>
        <v>Sales</v>
      </c>
    </row>
    <row r="1767" spans="1:9" x14ac:dyDescent="0.2">
      <c r="A1767">
        <v>6811</v>
      </c>
      <c r="B1767" s="7">
        <v>45719</v>
      </c>
      <c r="C1767" t="s">
        <v>1728</v>
      </c>
      <c r="D1767">
        <v>5194248592</v>
      </c>
      <c r="E1767">
        <v>0.48</v>
      </c>
      <c r="G1767">
        <v>210</v>
      </c>
      <c r="I1767" t="str">
        <f>VLOOKUP(G1767,Kostenstellen!$A$1:$C$17,2,0)</f>
        <v>Dev</v>
      </c>
    </row>
    <row r="1768" spans="1:9" x14ac:dyDescent="0.2">
      <c r="A1768">
        <v>6811</v>
      </c>
      <c r="B1768" s="7">
        <v>45719</v>
      </c>
      <c r="C1768" t="s">
        <v>1698</v>
      </c>
      <c r="D1768" t="s">
        <v>1729</v>
      </c>
      <c r="E1768">
        <v>5.41</v>
      </c>
      <c r="G1768">
        <v>210</v>
      </c>
      <c r="I1768" t="str">
        <f>VLOOKUP(G1768,Kostenstellen!$A$1:$C$17,2,0)</f>
        <v>Dev</v>
      </c>
    </row>
    <row r="1769" spans="1:9" x14ac:dyDescent="0.2">
      <c r="A1769">
        <v>6811</v>
      </c>
      <c r="B1769" s="7">
        <v>45719</v>
      </c>
      <c r="C1769" t="s">
        <v>1696</v>
      </c>
      <c r="D1769" t="s">
        <v>1730</v>
      </c>
      <c r="E1769">
        <v>72.83</v>
      </c>
      <c r="G1769">
        <v>210</v>
      </c>
      <c r="I1769" t="str">
        <f>VLOOKUP(G1769,Kostenstellen!$A$1:$C$17,2,0)</f>
        <v>Dev</v>
      </c>
    </row>
    <row r="1770" spans="1:9" x14ac:dyDescent="0.2">
      <c r="A1770">
        <v>6811</v>
      </c>
      <c r="B1770" s="7">
        <v>45720</v>
      </c>
      <c r="C1770" t="s">
        <v>1731</v>
      </c>
      <c r="D1770" t="s">
        <v>1732</v>
      </c>
      <c r="E1770" s="6">
        <v>7787.13</v>
      </c>
      <c r="G1770">
        <v>210</v>
      </c>
      <c r="I1770" t="str">
        <f>VLOOKUP(G1770,Kostenstellen!$A$1:$C$17,2,0)</f>
        <v>Dev</v>
      </c>
    </row>
    <row r="1771" spans="1:9" x14ac:dyDescent="0.2">
      <c r="A1771">
        <v>6811</v>
      </c>
      <c r="B1771" s="7">
        <v>45726</v>
      </c>
      <c r="C1771" t="s">
        <v>1733</v>
      </c>
      <c r="D1771" t="s">
        <v>1734</v>
      </c>
      <c r="E1771">
        <v>112.84</v>
      </c>
      <c r="G1771">
        <v>210</v>
      </c>
      <c r="I1771" t="str">
        <f>VLOOKUP(G1771,Kostenstellen!$A$1:$C$17,2,0)</f>
        <v>Dev</v>
      </c>
    </row>
    <row r="1772" spans="1:9" x14ac:dyDescent="0.2">
      <c r="A1772">
        <v>6811</v>
      </c>
      <c r="B1772" s="7">
        <v>45726</v>
      </c>
      <c r="C1772" t="s">
        <v>1735</v>
      </c>
      <c r="D1772" t="s">
        <v>1736</v>
      </c>
      <c r="E1772">
        <v>8.4</v>
      </c>
      <c r="G1772">
        <v>210</v>
      </c>
      <c r="I1772" t="str">
        <f>VLOOKUP(G1772,Kostenstellen!$A$1:$C$17,2,0)</f>
        <v>Dev</v>
      </c>
    </row>
    <row r="1773" spans="1:9" x14ac:dyDescent="0.2">
      <c r="A1773">
        <v>6811</v>
      </c>
      <c r="B1773" s="7">
        <v>45743</v>
      </c>
      <c r="C1773" t="s">
        <v>1737</v>
      </c>
      <c r="D1773" t="s">
        <v>1738</v>
      </c>
      <c r="E1773">
        <v>24.37</v>
      </c>
      <c r="G1773">
        <v>210</v>
      </c>
      <c r="I1773" t="str">
        <f>VLOOKUP(G1773,Kostenstellen!$A$1:$C$17,2,0)</f>
        <v>Dev</v>
      </c>
    </row>
    <row r="1774" spans="1:9" x14ac:dyDescent="0.2">
      <c r="A1774">
        <v>6811</v>
      </c>
      <c r="B1774" s="7">
        <v>45749</v>
      </c>
      <c r="C1774" t="s">
        <v>617</v>
      </c>
      <c r="D1774">
        <v>509255258</v>
      </c>
      <c r="E1774">
        <v>52.97</v>
      </c>
      <c r="G1774">
        <v>210</v>
      </c>
      <c r="I1774" t="str">
        <f>VLOOKUP(G1774,Kostenstellen!$A$1:$C$17,2,0)</f>
        <v>Dev</v>
      </c>
    </row>
    <row r="1775" spans="1:9" x14ac:dyDescent="0.2">
      <c r="A1775">
        <v>6811</v>
      </c>
      <c r="B1775" s="7">
        <v>45749</v>
      </c>
      <c r="C1775" t="s">
        <v>1727</v>
      </c>
      <c r="D1775">
        <v>5209845152</v>
      </c>
      <c r="E1775">
        <v>17.760000000000002</v>
      </c>
      <c r="G1775">
        <v>230</v>
      </c>
      <c r="I1775" t="str">
        <f>VLOOKUP(G1775,Kostenstellen!$A$1:$C$17,2,0)</f>
        <v>Sales</v>
      </c>
    </row>
    <row r="1776" spans="1:9" x14ac:dyDescent="0.2">
      <c r="A1776">
        <v>6811</v>
      </c>
      <c r="B1776" s="7">
        <v>45749</v>
      </c>
      <c r="C1776" t="s">
        <v>1739</v>
      </c>
      <c r="D1776">
        <v>5211546666</v>
      </c>
      <c r="E1776">
        <v>17.760000000000002</v>
      </c>
      <c r="G1776">
        <v>230</v>
      </c>
      <c r="I1776" t="str">
        <f>VLOOKUP(G1776,Kostenstellen!$A$1:$C$17,2,0)</f>
        <v>Sales</v>
      </c>
    </row>
    <row r="1777" spans="1:9" x14ac:dyDescent="0.2">
      <c r="A1777">
        <v>6811</v>
      </c>
      <c r="B1777" s="7">
        <v>45749</v>
      </c>
      <c r="C1777" t="s">
        <v>1696</v>
      </c>
      <c r="D1777" t="s">
        <v>1740</v>
      </c>
      <c r="E1777">
        <v>80.84</v>
      </c>
      <c r="G1777">
        <v>210</v>
      </c>
      <c r="I1777" t="str">
        <f>VLOOKUP(G1777,Kostenstellen!$A$1:$C$17,2,0)</f>
        <v>Dev</v>
      </c>
    </row>
    <row r="1778" spans="1:9" x14ac:dyDescent="0.2">
      <c r="A1778">
        <v>6811</v>
      </c>
      <c r="B1778" s="7">
        <v>45749</v>
      </c>
      <c r="C1778" t="s">
        <v>1741</v>
      </c>
      <c r="D1778" t="s">
        <v>1742</v>
      </c>
      <c r="E1778">
        <v>0.51</v>
      </c>
      <c r="G1778">
        <v>210</v>
      </c>
      <c r="I1778" t="str">
        <f>VLOOKUP(G1778,Kostenstellen!$A$1:$C$17,2,0)</f>
        <v>Dev</v>
      </c>
    </row>
    <row r="1779" spans="1:9" x14ac:dyDescent="0.2">
      <c r="A1779">
        <v>6811</v>
      </c>
      <c r="B1779" s="7">
        <v>45749</v>
      </c>
      <c r="C1779" t="s">
        <v>1743</v>
      </c>
      <c r="D1779" t="s">
        <v>1744</v>
      </c>
      <c r="E1779" s="6">
        <v>6845.73</v>
      </c>
      <c r="G1779">
        <v>210</v>
      </c>
      <c r="I1779" t="str">
        <f>VLOOKUP(G1779,Kostenstellen!$A$1:$C$17,2,0)</f>
        <v>Dev</v>
      </c>
    </row>
    <row r="1780" spans="1:9" x14ac:dyDescent="0.2">
      <c r="A1780">
        <v>6811</v>
      </c>
      <c r="B1780" s="7">
        <v>45749</v>
      </c>
      <c r="C1780" t="s">
        <v>1745</v>
      </c>
      <c r="D1780" t="s">
        <v>1746</v>
      </c>
      <c r="E1780">
        <v>95.8</v>
      </c>
      <c r="G1780">
        <v>210</v>
      </c>
      <c r="I1780" t="str">
        <f>VLOOKUP(G1780,Kostenstellen!$A$1:$C$17,2,0)</f>
        <v>Dev</v>
      </c>
    </row>
    <row r="1781" spans="1:9" x14ac:dyDescent="0.2">
      <c r="A1781">
        <v>6811</v>
      </c>
      <c r="B1781" s="7">
        <v>45749</v>
      </c>
      <c r="C1781" t="s">
        <v>1698</v>
      </c>
      <c r="D1781" t="s">
        <v>1747</v>
      </c>
      <c r="E1781">
        <v>5.2</v>
      </c>
      <c r="G1781">
        <v>210</v>
      </c>
      <c r="I1781" t="str">
        <f>VLOOKUP(G1781,Kostenstellen!$A$1:$C$17,2,0)</f>
        <v>Dev</v>
      </c>
    </row>
    <row r="1782" spans="1:9" x14ac:dyDescent="0.2">
      <c r="A1782">
        <v>6811</v>
      </c>
      <c r="B1782" s="7">
        <v>45756</v>
      </c>
      <c r="C1782" t="s">
        <v>1748</v>
      </c>
      <c r="D1782" t="s">
        <v>1749</v>
      </c>
      <c r="E1782">
        <v>123.74</v>
      </c>
      <c r="G1782">
        <v>210</v>
      </c>
      <c r="I1782" t="str">
        <f>VLOOKUP(G1782,Kostenstellen!$A$1:$C$17,2,0)</f>
        <v>Dev</v>
      </c>
    </row>
    <row r="1783" spans="1:9" x14ac:dyDescent="0.2">
      <c r="A1783">
        <v>6811</v>
      </c>
      <c r="B1783" s="7">
        <v>45774</v>
      </c>
      <c r="C1783" t="s">
        <v>1750</v>
      </c>
      <c r="D1783" t="s">
        <v>1751</v>
      </c>
      <c r="E1783">
        <v>24.37</v>
      </c>
      <c r="G1783">
        <v>210</v>
      </c>
      <c r="I1783" t="str">
        <f>VLOOKUP(G1783,Kostenstellen!$A$1:$C$17,2,0)</f>
        <v>Dev</v>
      </c>
    </row>
    <row r="1784" spans="1:9" x14ac:dyDescent="0.2">
      <c r="A1784">
        <v>6811</v>
      </c>
      <c r="B1784" s="7">
        <v>45779</v>
      </c>
      <c r="C1784" t="s">
        <v>1739</v>
      </c>
      <c r="D1784">
        <v>5238677215</v>
      </c>
      <c r="E1784">
        <v>24.3</v>
      </c>
      <c r="G1784">
        <v>230</v>
      </c>
      <c r="I1784" t="str">
        <f>VLOOKUP(G1784,Kostenstellen!$A$1:$C$17,2,0)</f>
        <v>Sales</v>
      </c>
    </row>
    <row r="1785" spans="1:9" x14ac:dyDescent="0.2">
      <c r="A1785">
        <v>6811</v>
      </c>
      <c r="B1785" s="7">
        <v>45779</v>
      </c>
      <c r="C1785" t="s">
        <v>1752</v>
      </c>
      <c r="D1785">
        <v>5248799513</v>
      </c>
      <c r="E1785">
        <v>0.51</v>
      </c>
      <c r="G1785">
        <v>210</v>
      </c>
      <c r="I1785" t="str">
        <f>VLOOKUP(G1785,Kostenstellen!$A$1:$C$17,2,0)</f>
        <v>Dev</v>
      </c>
    </row>
    <row r="1786" spans="1:9" x14ac:dyDescent="0.2">
      <c r="A1786">
        <v>6811</v>
      </c>
      <c r="B1786" s="7">
        <v>45779</v>
      </c>
      <c r="C1786" t="s">
        <v>1696</v>
      </c>
      <c r="D1786" t="s">
        <v>1753</v>
      </c>
      <c r="E1786">
        <v>74.23</v>
      </c>
      <c r="G1786">
        <v>210</v>
      </c>
      <c r="I1786" t="str">
        <f>VLOOKUP(G1786,Kostenstellen!$A$1:$C$17,2,0)</f>
        <v>Dev</v>
      </c>
    </row>
    <row r="1787" spans="1:9" x14ac:dyDescent="0.2">
      <c r="A1787">
        <v>6811</v>
      </c>
      <c r="B1787" s="7">
        <v>45779</v>
      </c>
      <c r="C1787" t="s">
        <v>1754</v>
      </c>
      <c r="D1787" t="s">
        <v>1755</v>
      </c>
      <c r="E1787">
        <v>95.8</v>
      </c>
      <c r="G1787">
        <v>210</v>
      </c>
      <c r="I1787" t="str">
        <f>VLOOKUP(G1787,Kostenstellen!$A$1:$C$17,2,0)</f>
        <v>Dev</v>
      </c>
    </row>
    <row r="1788" spans="1:9" x14ac:dyDescent="0.2">
      <c r="A1788">
        <v>6811</v>
      </c>
      <c r="B1788" s="7">
        <v>45779</v>
      </c>
      <c r="C1788" t="s">
        <v>1698</v>
      </c>
      <c r="D1788" t="s">
        <v>1756</v>
      </c>
      <c r="E1788">
        <v>4.96</v>
      </c>
      <c r="G1788">
        <v>210</v>
      </c>
      <c r="I1788" t="str">
        <f>VLOOKUP(G1788,Kostenstellen!$A$1:$C$17,2,0)</f>
        <v>Dev</v>
      </c>
    </row>
    <row r="1789" spans="1:9" x14ac:dyDescent="0.2">
      <c r="A1789">
        <v>6811</v>
      </c>
      <c r="B1789" s="7">
        <v>45779</v>
      </c>
      <c r="C1789" t="s">
        <v>1757</v>
      </c>
      <c r="D1789" t="s">
        <v>1758</v>
      </c>
      <c r="E1789" s="6">
        <v>7689.17</v>
      </c>
      <c r="G1789">
        <v>210</v>
      </c>
      <c r="I1789" t="str">
        <f>VLOOKUP(G1789,Kostenstellen!$A$1:$C$17,2,0)</f>
        <v>Dev</v>
      </c>
    </row>
    <row r="1790" spans="1:9" x14ac:dyDescent="0.2">
      <c r="A1790">
        <v>6811</v>
      </c>
      <c r="B1790" s="7">
        <v>45782</v>
      </c>
      <c r="C1790" t="s">
        <v>675</v>
      </c>
      <c r="D1790">
        <v>5238677215</v>
      </c>
      <c r="E1790">
        <v>24.3</v>
      </c>
      <c r="G1790">
        <v>230</v>
      </c>
      <c r="I1790" t="str">
        <f>VLOOKUP(G1790,Kostenstellen!$A$1:$C$17,2,0)</f>
        <v>Sales</v>
      </c>
    </row>
    <row r="1791" spans="1:9" x14ac:dyDescent="0.2">
      <c r="A1791">
        <v>6811</v>
      </c>
      <c r="B1791" s="7">
        <v>45789</v>
      </c>
      <c r="C1791" t="s">
        <v>1759</v>
      </c>
      <c r="D1791" t="s">
        <v>1760</v>
      </c>
      <c r="E1791">
        <v>117.22</v>
      </c>
      <c r="G1791">
        <v>210</v>
      </c>
      <c r="I1791" t="str">
        <f>VLOOKUP(G1791,Kostenstellen!$A$1:$C$17,2,0)</f>
        <v>Dev</v>
      </c>
    </row>
    <row r="1792" spans="1:9" x14ac:dyDescent="0.2">
      <c r="A1792">
        <v>6811</v>
      </c>
      <c r="B1792" s="7">
        <v>45804</v>
      </c>
      <c r="C1792" t="s">
        <v>1761</v>
      </c>
      <c r="D1792" t="s">
        <v>1762</v>
      </c>
      <c r="E1792">
        <v>24.37</v>
      </c>
      <c r="G1792">
        <v>210</v>
      </c>
      <c r="I1792" t="str">
        <f>VLOOKUP(G1792,Kostenstellen!$A$1:$C$17,2,0)</f>
        <v>Dev</v>
      </c>
    </row>
    <row r="1793" spans="1:9" x14ac:dyDescent="0.2">
      <c r="A1793">
        <v>6811</v>
      </c>
      <c r="B1793" s="7">
        <v>45810</v>
      </c>
      <c r="C1793" t="s">
        <v>617</v>
      </c>
      <c r="D1793">
        <v>512942681</v>
      </c>
      <c r="E1793">
        <v>50.49</v>
      </c>
      <c r="G1793">
        <v>210</v>
      </c>
      <c r="I1793" t="str">
        <f>VLOOKUP(G1793,Kostenstellen!$A$1:$C$17,2,0)</f>
        <v>Dev</v>
      </c>
    </row>
    <row r="1794" spans="1:9" x14ac:dyDescent="0.2">
      <c r="A1794">
        <v>6811</v>
      </c>
      <c r="B1794" s="7">
        <v>45810</v>
      </c>
      <c r="C1794" t="s">
        <v>1763</v>
      </c>
      <c r="D1794">
        <v>5278716656</v>
      </c>
      <c r="E1794">
        <v>0.51</v>
      </c>
      <c r="G1794">
        <v>210</v>
      </c>
      <c r="I1794" t="str">
        <f>VLOOKUP(G1794,Kostenstellen!$A$1:$C$17,2,0)</f>
        <v>Dev</v>
      </c>
    </row>
    <row r="1795" spans="1:9" x14ac:dyDescent="0.2">
      <c r="A1795">
        <v>6811</v>
      </c>
      <c r="B1795" s="7">
        <v>45810</v>
      </c>
      <c r="C1795" t="s">
        <v>1696</v>
      </c>
      <c r="D1795" t="s">
        <v>1764</v>
      </c>
      <c r="E1795">
        <v>76.56</v>
      </c>
      <c r="G1795">
        <v>210</v>
      </c>
      <c r="I1795" t="str">
        <f>VLOOKUP(G1795,Kostenstellen!$A$1:$C$17,2,0)</f>
        <v>Dev</v>
      </c>
    </row>
    <row r="1796" spans="1:9" x14ac:dyDescent="0.2">
      <c r="A1796">
        <v>6811</v>
      </c>
      <c r="B1796" s="7">
        <v>45810</v>
      </c>
      <c r="C1796" t="s">
        <v>1698</v>
      </c>
      <c r="D1796" t="s">
        <v>1765</v>
      </c>
      <c r="E1796">
        <v>4.96</v>
      </c>
      <c r="G1796">
        <v>210</v>
      </c>
      <c r="I1796" t="str">
        <f>VLOOKUP(G1796,Kostenstellen!$A$1:$C$17,2,0)</f>
        <v>Dev</v>
      </c>
    </row>
    <row r="1797" spans="1:9" x14ac:dyDescent="0.2">
      <c r="A1797">
        <v>6811</v>
      </c>
      <c r="B1797" s="7">
        <v>45810</v>
      </c>
      <c r="C1797" t="s">
        <v>1766</v>
      </c>
      <c r="D1797" t="s">
        <v>1767</v>
      </c>
      <c r="E1797">
        <v>95.8</v>
      </c>
      <c r="G1797">
        <v>210</v>
      </c>
      <c r="I1797" t="str">
        <f>VLOOKUP(G1797,Kostenstellen!$A$1:$C$17,2,0)</f>
        <v>Dev</v>
      </c>
    </row>
    <row r="1798" spans="1:9" x14ac:dyDescent="0.2">
      <c r="A1798">
        <v>6811</v>
      </c>
      <c r="B1798" s="7">
        <v>45835</v>
      </c>
      <c r="C1798" t="s">
        <v>1768</v>
      </c>
      <c r="D1798" t="s">
        <v>1769</v>
      </c>
      <c r="E1798">
        <v>24.37</v>
      </c>
      <c r="G1798">
        <v>210</v>
      </c>
      <c r="I1798" t="str">
        <f>VLOOKUP(G1798,Kostenstellen!$A$1:$C$17,2,0)</f>
        <v>Dev</v>
      </c>
    </row>
    <row r="1799" spans="1:9" x14ac:dyDescent="0.2">
      <c r="A1799">
        <v>6811</v>
      </c>
      <c r="B1799" s="7">
        <v>45839</v>
      </c>
      <c r="C1799" t="s">
        <v>617</v>
      </c>
      <c r="D1799">
        <v>138256981</v>
      </c>
      <c r="E1799">
        <v>48.82</v>
      </c>
      <c r="G1799">
        <v>210</v>
      </c>
      <c r="I1799" t="str">
        <f>VLOOKUP(G1799,Kostenstellen!$A$1:$C$17,2,0)</f>
        <v>Dev</v>
      </c>
    </row>
    <row r="1800" spans="1:9" x14ac:dyDescent="0.2">
      <c r="A1800">
        <v>6811</v>
      </c>
      <c r="B1800" s="7">
        <v>45840</v>
      </c>
      <c r="C1800" t="s">
        <v>1727</v>
      </c>
      <c r="D1800">
        <v>5268094098</v>
      </c>
      <c r="E1800">
        <v>24.3</v>
      </c>
      <c r="G1800">
        <v>230</v>
      </c>
      <c r="I1800" t="str">
        <f>VLOOKUP(G1800,Kostenstellen!$A$1:$C$17,2,0)</f>
        <v>Sales</v>
      </c>
    </row>
    <row r="1801" spans="1:9" x14ac:dyDescent="0.2">
      <c r="A1801">
        <v>6811</v>
      </c>
      <c r="B1801" s="7">
        <v>45840</v>
      </c>
      <c r="C1801" t="s">
        <v>677</v>
      </c>
      <c r="D1801">
        <v>5290827674</v>
      </c>
      <c r="E1801">
        <v>24.3</v>
      </c>
      <c r="G1801">
        <v>230</v>
      </c>
      <c r="I1801" t="str">
        <f>VLOOKUP(G1801,Kostenstellen!$A$1:$C$17,2,0)</f>
        <v>Sales</v>
      </c>
    </row>
    <row r="1802" spans="1:9" x14ac:dyDescent="0.2">
      <c r="A1802">
        <v>6811</v>
      </c>
      <c r="B1802" s="7">
        <v>45840</v>
      </c>
      <c r="C1802" t="s">
        <v>1770</v>
      </c>
      <c r="D1802">
        <v>5304058994</v>
      </c>
      <c r="E1802">
        <v>0.53</v>
      </c>
      <c r="G1802">
        <v>210</v>
      </c>
      <c r="I1802" t="str">
        <f>VLOOKUP(G1802,Kostenstellen!$A$1:$C$17,2,0)</f>
        <v>Dev</v>
      </c>
    </row>
    <row r="1803" spans="1:9" x14ac:dyDescent="0.2">
      <c r="A1803">
        <v>6811</v>
      </c>
      <c r="B1803" s="7">
        <v>45840</v>
      </c>
      <c r="C1803" t="s">
        <v>1696</v>
      </c>
      <c r="D1803" t="s">
        <v>1771</v>
      </c>
      <c r="E1803">
        <v>72.010000000000005</v>
      </c>
      <c r="G1803">
        <v>210</v>
      </c>
      <c r="I1803" t="str">
        <f>VLOOKUP(G1803,Kostenstellen!$A$1:$C$17,2,0)</f>
        <v>Dev</v>
      </c>
    </row>
    <row r="1804" spans="1:9" x14ac:dyDescent="0.2">
      <c r="A1804">
        <v>6811</v>
      </c>
      <c r="B1804" s="7">
        <v>45840</v>
      </c>
      <c r="C1804" t="s">
        <v>1772</v>
      </c>
      <c r="D1804" t="s">
        <v>1773</v>
      </c>
      <c r="E1804">
        <v>95.8</v>
      </c>
      <c r="G1804">
        <v>210</v>
      </c>
      <c r="I1804" t="str">
        <f>VLOOKUP(G1804,Kostenstellen!$A$1:$C$17,2,0)</f>
        <v>Dev</v>
      </c>
    </row>
    <row r="1805" spans="1:9" x14ac:dyDescent="0.2">
      <c r="A1805">
        <v>6811</v>
      </c>
      <c r="B1805" s="7">
        <v>45840</v>
      </c>
      <c r="C1805" t="s">
        <v>1774</v>
      </c>
      <c r="D1805" t="s">
        <v>1775</v>
      </c>
      <c r="E1805" s="6">
        <v>6277.76</v>
      </c>
      <c r="G1805">
        <v>210</v>
      </c>
      <c r="I1805" t="str">
        <f>VLOOKUP(G1805,Kostenstellen!$A$1:$C$17,2,0)</f>
        <v>Dev</v>
      </c>
    </row>
    <row r="1806" spans="1:9" x14ac:dyDescent="0.2">
      <c r="A1806">
        <v>6811</v>
      </c>
      <c r="B1806" s="7">
        <v>45840</v>
      </c>
      <c r="C1806" t="s">
        <v>1698</v>
      </c>
      <c r="D1806" t="s">
        <v>1776</v>
      </c>
      <c r="E1806">
        <v>4.79</v>
      </c>
      <c r="G1806">
        <v>210</v>
      </c>
      <c r="I1806" t="str">
        <f>VLOOKUP(G1806,Kostenstellen!$A$1:$C$17,2,0)</f>
        <v>Dev</v>
      </c>
    </row>
    <row r="1807" spans="1:9" x14ac:dyDescent="0.2">
      <c r="A1807">
        <v>6811</v>
      </c>
      <c r="B1807" s="7">
        <v>45848</v>
      </c>
      <c r="C1807" t="s">
        <v>1777</v>
      </c>
      <c r="D1807" t="s">
        <v>1778</v>
      </c>
      <c r="E1807">
        <v>111.86</v>
      </c>
      <c r="G1807">
        <v>210</v>
      </c>
      <c r="I1807" t="str">
        <f>VLOOKUP(G1807,Kostenstellen!$A$1:$C$17,2,0)</f>
        <v>Dev</v>
      </c>
    </row>
    <row r="1808" spans="1:9" x14ac:dyDescent="0.2">
      <c r="A1808">
        <v>6811</v>
      </c>
      <c r="B1808" s="7">
        <v>45865</v>
      </c>
      <c r="C1808" t="s">
        <v>1772</v>
      </c>
      <c r="D1808" t="s">
        <v>1779</v>
      </c>
      <c r="E1808">
        <v>24.37</v>
      </c>
      <c r="G1808">
        <v>210</v>
      </c>
      <c r="I1808" t="str">
        <f>VLOOKUP(G1808,Kostenstellen!$A$1:$C$17,2,0)</f>
        <v>Dev</v>
      </c>
    </row>
    <row r="1809" spans="1:9" x14ac:dyDescent="0.2">
      <c r="A1809">
        <v>6811</v>
      </c>
      <c r="B1809" s="7">
        <v>45870</v>
      </c>
      <c r="C1809" t="s">
        <v>617</v>
      </c>
      <c r="D1809">
        <v>139675711</v>
      </c>
      <c r="E1809">
        <v>50.11</v>
      </c>
      <c r="G1809">
        <v>210</v>
      </c>
      <c r="I1809" t="str">
        <f>VLOOKUP(G1809,Kostenstellen!$A$1:$C$17,2,0)</f>
        <v>Dev</v>
      </c>
    </row>
    <row r="1810" spans="1:9" x14ac:dyDescent="0.2">
      <c r="A1810">
        <v>6811</v>
      </c>
      <c r="B1810" s="7">
        <v>45870</v>
      </c>
      <c r="C1810" t="s">
        <v>1780</v>
      </c>
      <c r="D1810" t="s">
        <v>1781</v>
      </c>
      <c r="E1810" s="6">
        <v>6330.05</v>
      </c>
      <c r="G1810">
        <v>210</v>
      </c>
      <c r="I1810" t="str">
        <f>VLOOKUP(G1810,Kostenstellen!$A$1:$C$17,2,0)</f>
        <v>Dev</v>
      </c>
    </row>
    <row r="1811" spans="1:9" x14ac:dyDescent="0.2">
      <c r="A1811">
        <v>6811</v>
      </c>
      <c r="B1811" s="7">
        <v>45871</v>
      </c>
      <c r="C1811" t="s">
        <v>1782</v>
      </c>
      <c r="D1811" t="s">
        <v>1783</v>
      </c>
      <c r="E1811">
        <v>95.8</v>
      </c>
      <c r="G1811">
        <v>210</v>
      </c>
      <c r="I1811" t="str">
        <f>VLOOKUP(G1811,Kostenstellen!$A$1:$C$17,2,0)</f>
        <v>Dev</v>
      </c>
    </row>
    <row r="1812" spans="1:9" x14ac:dyDescent="0.2">
      <c r="A1812">
        <v>6811</v>
      </c>
      <c r="B1812" s="7">
        <v>45873</v>
      </c>
      <c r="C1812" t="s">
        <v>677</v>
      </c>
      <c r="D1812">
        <v>5320018902</v>
      </c>
      <c r="E1812">
        <v>7.83</v>
      </c>
      <c r="G1812">
        <v>230</v>
      </c>
      <c r="I1812" t="str">
        <f>VLOOKUP(G1812,Kostenstellen!$A$1:$C$17,2,0)</f>
        <v>Sales</v>
      </c>
    </row>
    <row r="1813" spans="1:9" x14ac:dyDescent="0.2">
      <c r="A1813">
        <v>6811</v>
      </c>
      <c r="B1813" s="7">
        <v>45873</v>
      </c>
      <c r="C1813" t="s">
        <v>675</v>
      </c>
      <c r="D1813">
        <v>5321027729</v>
      </c>
      <c r="E1813">
        <v>7.83</v>
      </c>
      <c r="G1813">
        <v>230</v>
      </c>
      <c r="I1813" t="str">
        <f>VLOOKUP(G1813,Kostenstellen!$A$1:$C$17,2,0)</f>
        <v>Sales</v>
      </c>
    </row>
    <row r="1814" spans="1:9" x14ac:dyDescent="0.2">
      <c r="A1814">
        <v>6811</v>
      </c>
      <c r="B1814" s="7">
        <v>45873</v>
      </c>
      <c r="C1814" t="s">
        <v>1784</v>
      </c>
      <c r="D1814">
        <v>5325843306</v>
      </c>
      <c r="E1814">
        <v>0.52</v>
      </c>
      <c r="G1814">
        <v>210</v>
      </c>
      <c r="I1814" t="str">
        <f>VLOOKUP(G1814,Kostenstellen!$A$1:$C$17,2,0)</f>
        <v>Dev</v>
      </c>
    </row>
    <row r="1815" spans="1:9" x14ac:dyDescent="0.2">
      <c r="A1815">
        <v>6811</v>
      </c>
      <c r="B1815" s="7">
        <v>45873</v>
      </c>
      <c r="C1815" t="s">
        <v>1696</v>
      </c>
      <c r="D1815" t="s">
        <v>1785</v>
      </c>
      <c r="E1815">
        <v>76.400000000000006</v>
      </c>
      <c r="G1815">
        <v>210</v>
      </c>
      <c r="I1815" t="str">
        <f>VLOOKUP(G1815,Kostenstellen!$A$1:$C$17,2,0)</f>
        <v>Dev</v>
      </c>
    </row>
    <row r="1816" spans="1:9" x14ac:dyDescent="0.2">
      <c r="A1816">
        <v>6811</v>
      </c>
      <c r="B1816" s="7">
        <v>45873</v>
      </c>
      <c r="C1816" t="s">
        <v>1698</v>
      </c>
      <c r="D1816" t="s">
        <v>1786</v>
      </c>
      <c r="E1816">
        <v>4.92</v>
      </c>
      <c r="G1816">
        <v>210</v>
      </c>
      <c r="I1816" t="str">
        <f>VLOOKUP(G1816,Kostenstellen!$A$1:$C$17,2,0)</f>
        <v>Dev</v>
      </c>
    </row>
    <row r="1817" spans="1:9" x14ac:dyDescent="0.2">
      <c r="A1817">
        <v>6811</v>
      </c>
      <c r="B1817" s="7">
        <v>45880</v>
      </c>
      <c r="C1817" t="s">
        <v>1787</v>
      </c>
      <c r="D1817" t="s">
        <v>1788</v>
      </c>
      <c r="E1817">
        <v>121.87</v>
      </c>
      <c r="G1817">
        <v>210</v>
      </c>
      <c r="I1817" t="str">
        <f>VLOOKUP(G1817,Kostenstellen!$A$1:$C$17,2,0)</f>
        <v>Dev</v>
      </c>
    </row>
    <row r="1818" spans="1:9" x14ac:dyDescent="0.2">
      <c r="A1818">
        <v>6811</v>
      </c>
      <c r="B1818" s="7">
        <v>45896</v>
      </c>
      <c r="C1818" t="s">
        <v>1782</v>
      </c>
      <c r="D1818" t="s">
        <v>1789</v>
      </c>
      <c r="E1818">
        <v>24.37</v>
      </c>
      <c r="G1818">
        <v>210</v>
      </c>
      <c r="I1818" t="str">
        <f>VLOOKUP(G1818,Kostenstellen!$A$1:$C$17,2,0)</f>
        <v>Dev</v>
      </c>
    </row>
    <row r="1819" spans="1:9" x14ac:dyDescent="0.2">
      <c r="A1819">
        <v>6811</v>
      </c>
      <c r="B1819" s="7">
        <v>45899</v>
      </c>
      <c r="C1819" t="s">
        <v>1782</v>
      </c>
      <c r="D1819" t="s">
        <v>1790</v>
      </c>
      <c r="E1819">
        <v>10.08</v>
      </c>
      <c r="G1819">
        <v>210</v>
      </c>
      <c r="I1819" t="str">
        <f>VLOOKUP(G1819,Kostenstellen!$A$1:$C$17,2,0)</f>
        <v>Dev</v>
      </c>
    </row>
    <row r="1820" spans="1:9" x14ac:dyDescent="0.2">
      <c r="A1820">
        <v>6811</v>
      </c>
      <c r="B1820" s="7">
        <v>45901</v>
      </c>
      <c r="C1820" t="s">
        <v>617</v>
      </c>
      <c r="D1820">
        <v>141366162</v>
      </c>
      <c r="E1820">
        <v>49.03</v>
      </c>
      <c r="G1820">
        <v>210</v>
      </c>
      <c r="I1820" t="str">
        <f>VLOOKUP(G1820,Kostenstellen!$A$1:$C$17,2,0)</f>
        <v>Dev</v>
      </c>
    </row>
    <row r="1821" spans="1:9" x14ac:dyDescent="0.2">
      <c r="A1821">
        <v>6811</v>
      </c>
      <c r="B1821" s="7">
        <v>45902</v>
      </c>
      <c r="C1821" t="s">
        <v>1791</v>
      </c>
      <c r="D1821">
        <v>5355825507</v>
      </c>
      <c r="E1821">
        <v>0.54</v>
      </c>
      <c r="G1821">
        <v>210</v>
      </c>
      <c r="I1821" t="str">
        <f>VLOOKUP(G1821,Kostenstellen!$A$1:$C$17,2,0)</f>
        <v>Dev</v>
      </c>
    </row>
    <row r="1822" spans="1:9" x14ac:dyDescent="0.2">
      <c r="A1822">
        <v>6811</v>
      </c>
      <c r="B1822" s="7">
        <v>45902</v>
      </c>
      <c r="C1822" t="s">
        <v>1698</v>
      </c>
      <c r="D1822" t="s">
        <v>1792</v>
      </c>
      <c r="E1822">
        <v>4.8099999999999996</v>
      </c>
      <c r="G1822">
        <v>210</v>
      </c>
      <c r="I1822" t="str">
        <f>VLOOKUP(G1822,Kostenstellen!$A$1:$C$17,2,0)</f>
        <v>Dev</v>
      </c>
    </row>
    <row r="1823" spans="1:9" x14ac:dyDescent="0.2">
      <c r="A1823">
        <v>6811</v>
      </c>
      <c r="B1823" s="7">
        <v>45902</v>
      </c>
      <c r="C1823" t="s">
        <v>1696</v>
      </c>
      <c r="D1823" t="s">
        <v>1793</v>
      </c>
      <c r="E1823">
        <v>74.75</v>
      </c>
      <c r="G1823">
        <v>210</v>
      </c>
      <c r="I1823" t="str">
        <f>VLOOKUP(G1823,Kostenstellen!$A$1:$C$17,2,0)</f>
        <v>Dev</v>
      </c>
    </row>
    <row r="1824" spans="1:9" x14ac:dyDescent="0.2">
      <c r="A1824">
        <v>6811</v>
      </c>
      <c r="B1824" s="7">
        <v>45902</v>
      </c>
      <c r="C1824" t="s">
        <v>1794</v>
      </c>
      <c r="D1824" t="s">
        <v>1795</v>
      </c>
      <c r="E1824" s="6">
        <v>6703.24</v>
      </c>
      <c r="G1824">
        <v>210</v>
      </c>
      <c r="I1824" t="str">
        <f>VLOOKUP(G1824,Kostenstellen!$A$1:$C$17,2,0)</f>
        <v>Dev</v>
      </c>
    </row>
    <row r="1825" spans="1:9" x14ac:dyDescent="0.2">
      <c r="A1825">
        <v>6811</v>
      </c>
      <c r="B1825" s="7">
        <v>45902</v>
      </c>
      <c r="C1825" t="s">
        <v>1796</v>
      </c>
      <c r="D1825" t="s">
        <v>1797</v>
      </c>
      <c r="E1825">
        <v>95.8</v>
      </c>
      <c r="G1825">
        <v>200</v>
      </c>
      <c r="I1825" t="str">
        <f>VLOOKUP(G1825,Kostenstellen!$A$1:$C$17,2,0)</f>
        <v>aqua</v>
      </c>
    </row>
    <row r="1826" spans="1:9" x14ac:dyDescent="0.2">
      <c r="A1826">
        <v>6811</v>
      </c>
      <c r="B1826" s="7">
        <v>45910</v>
      </c>
      <c r="C1826" t="s">
        <v>1798</v>
      </c>
      <c r="D1826" t="s">
        <v>1799</v>
      </c>
      <c r="E1826">
        <v>113.29</v>
      </c>
      <c r="G1826">
        <v>210</v>
      </c>
      <c r="I1826" t="str">
        <f>VLOOKUP(G1826,Kostenstellen!$A$1:$C$17,2,0)</f>
        <v>Dev</v>
      </c>
    </row>
    <row r="1827" spans="1:9" x14ac:dyDescent="0.2">
      <c r="A1827">
        <v>6811</v>
      </c>
      <c r="B1827" s="7">
        <v>45927</v>
      </c>
      <c r="C1827" t="s">
        <v>1796</v>
      </c>
      <c r="D1827" t="s">
        <v>1800</v>
      </c>
      <c r="E1827">
        <v>24.37</v>
      </c>
      <c r="G1827">
        <v>210</v>
      </c>
      <c r="I1827" t="str">
        <f>VLOOKUP(G1827,Kostenstellen!$A$1:$C$17,2,0)</f>
        <v>Dev</v>
      </c>
    </row>
    <row r="1828" spans="1:9" x14ac:dyDescent="0.2">
      <c r="A1828">
        <v>6811</v>
      </c>
      <c r="B1828" s="7">
        <v>45930</v>
      </c>
      <c r="C1828" t="s">
        <v>1796</v>
      </c>
      <c r="D1828" t="s">
        <v>1801</v>
      </c>
      <c r="E1828">
        <v>10.08</v>
      </c>
      <c r="G1828">
        <v>210</v>
      </c>
      <c r="I1828" t="str">
        <f>VLOOKUP(G1828,Kostenstellen!$A$1:$C$17,2,0)</f>
        <v>Dev</v>
      </c>
    </row>
    <row r="1829" spans="1:9" x14ac:dyDescent="0.2">
      <c r="A1829">
        <v>6811</v>
      </c>
      <c r="B1829" s="7">
        <v>45932</v>
      </c>
      <c r="C1829" t="s">
        <v>617</v>
      </c>
      <c r="D1829">
        <v>527330966</v>
      </c>
      <c r="E1829">
        <v>48.78</v>
      </c>
      <c r="G1829">
        <v>210</v>
      </c>
      <c r="I1829" t="str">
        <f>VLOOKUP(G1829,Kostenstellen!$A$1:$C$17,2,0)</f>
        <v>Dev</v>
      </c>
    </row>
    <row r="1830" spans="1:9" x14ac:dyDescent="0.2">
      <c r="A1830">
        <v>6811</v>
      </c>
      <c r="B1830" s="7">
        <v>45932</v>
      </c>
      <c r="C1830" t="s">
        <v>1802</v>
      </c>
      <c r="D1830">
        <v>5382107163</v>
      </c>
      <c r="E1830">
        <v>0.54</v>
      </c>
      <c r="G1830">
        <v>210</v>
      </c>
      <c r="I1830" t="str">
        <f>VLOOKUP(G1830,Kostenstellen!$A$1:$C$17,2,0)</f>
        <v>Dev</v>
      </c>
    </row>
    <row r="1831" spans="1:9" x14ac:dyDescent="0.2">
      <c r="A1831">
        <v>6811</v>
      </c>
      <c r="B1831" s="7">
        <v>45932</v>
      </c>
      <c r="C1831" t="s">
        <v>1698</v>
      </c>
      <c r="D1831" t="s">
        <v>1803</v>
      </c>
      <c r="E1831">
        <v>4.79</v>
      </c>
      <c r="G1831">
        <v>210</v>
      </c>
      <c r="I1831" t="str">
        <f>VLOOKUP(G1831,Kostenstellen!$A$1:$C$17,2,0)</f>
        <v>Dev</v>
      </c>
    </row>
    <row r="1832" spans="1:9" x14ac:dyDescent="0.2">
      <c r="A1832">
        <v>6811</v>
      </c>
      <c r="B1832" s="7">
        <v>45932</v>
      </c>
      <c r="C1832" t="s">
        <v>1696</v>
      </c>
      <c r="D1832" t="s">
        <v>1804</v>
      </c>
      <c r="E1832">
        <v>76.5</v>
      </c>
      <c r="G1832">
        <v>210</v>
      </c>
      <c r="I1832" t="str">
        <f>VLOOKUP(G1832,Kostenstellen!$A$1:$C$17,2,0)</f>
        <v>Dev</v>
      </c>
    </row>
    <row r="1833" spans="1:9" x14ac:dyDescent="0.2">
      <c r="A1833">
        <v>6811</v>
      </c>
      <c r="B1833" s="7">
        <v>45932</v>
      </c>
      <c r="C1833" t="s">
        <v>1805</v>
      </c>
      <c r="D1833" t="s">
        <v>1806</v>
      </c>
      <c r="E1833">
        <v>95.8</v>
      </c>
      <c r="G1833">
        <v>210</v>
      </c>
      <c r="I1833" t="str">
        <f>VLOOKUP(G1833,Kostenstellen!$A$1:$C$17,2,0)</f>
        <v>Dev</v>
      </c>
    </row>
    <row r="1834" spans="1:9" x14ac:dyDescent="0.2">
      <c r="A1834">
        <v>6811</v>
      </c>
      <c r="B1834" s="7">
        <v>45933</v>
      </c>
      <c r="C1834" t="s">
        <v>1807</v>
      </c>
      <c r="D1834" t="s">
        <v>1808</v>
      </c>
      <c r="E1834" s="6">
        <v>6817.16</v>
      </c>
      <c r="G1834">
        <v>210</v>
      </c>
      <c r="I1834" t="str">
        <f>VLOOKUP(G1834,Kostenstellen!$A$1:$C$17,2,0)</f>
        <v>Dev</v>
      </c>
    </row>
    <row r="1835" spans="1:9" x14ac:dyDescent="0.2">
      <c r="A1835">
        <v>6811</v>
      </c>
      <c r="B1835" s="7">
        <v>45940</v>
      </c>
      <c r="C1835" t="s">
        <v>1809</v>
      </c>
      <c r="D1835" t="s">
        <v>1810</v>
      </c>
      <c r="E1835">
        <v>109.03</v>
      </c>
      <c r="G1835">
        <v>210</v>
      </c>
      <c r="I1835" t="str">
        <f>VLOOKUP(G1835,Kostenstellen!$A$1:$C$17,2,0)</f>
        <v>Dev</v>
      </c>
    </row>
    <row r="1836" spans="1:9" x14ac:dyDescent="0.2">
      <c r="A1836">
        <v>6811</v>
      </c>
      <c r="B1836" s="7">
        <v>45957</v>
      </c>
      <c r="C1836" t="s">
        <v>1805</v>
      </c>
      <c r="D1836" t="s">
        <v>1811</v>
      </c>
      <c r="E1836">
        <v>24.37</v>
      </c>
      <c r="G1836">
        <v>210</v>
      </c>
      <c r="I1836" t="str">
        <f>VLOOKUP(G1836,Kostenstellen!$A$1:$C$17,2,0)</f>
        <v>Dev</v>
      </c>
    </row>
    <row r="1837" spans="1:9" x14ac:dyDescent="0.2">
      <c r="A1837">
        <v>6811</v>
      </c>
      <c r="B1837" s="7">
        <v>45960</v>
      </c>
      <c r="C1837" t="s">
        <v>1805</v>
      </c>
      <c r="D1837" t="s">
        <v>1812</v>
      </c>
      <c r="E1837">
        <v>10.08</v>
      </c>
      <c r="G1837">
        <v>210</v>
      </c>
      <c r="I1837" t="str">
        <f>VLOOKUP(G1837,Kostenstellen!$A$1:$C$17,2,0)</f>
        <v>Dev</v>
      </c>
    </row>
    <row r="1838" spans="1:9" x14ac:dyDescent="0.2">
      <c r="A1838">
        <v>6811</v>
      </c>
      <c r="B1838" s="7">
        <v>45963</v>
      </c>
      <c r="C1838" t="s">
        <v>1813</v>
      </c>
      <c r="D1838" t="s">
        <v>1814</v>
      </c>
      <c r="E1838">
        <v>95.8</v>
      </c>
      <c r="G1838">
        <v>210</v>
      </c>
      <c r="I1838" t="str">
        <f>VLOOKUP(G1838,Kostenstellen!$A$1:$C$17,2,0)</f>
        <v>Dev</v>
      </c>
    </row>
    <row r="1839" spans="1:9" x14ac:dyDescent="0.2">
      <c r="A1839">
        <v>6811</v>
      </c>
      <c r="B1839" s="7">
        <v>45964</v>
      </c>
      <c r="C1839" t="s">
        <v>1815</v>
      </c>
      <c r="D1839">
        <v>5407533125</v>
      </c>
      <c r="E1839">
        <v>0.56999999999999995</v>
      </c>
      <c r="G1839">
        <v>210</v>
      </c>
      <c r="I1839" t="str">
        <f>VLOOKUP(G1839,Kostenstellen!$A$1:$C$17,2,0)</f>
        <v>Dev</v>
      </c>
    </row>
    <row r="1840" spans="1:9" x14ac:dyDescent="0.2">
      <c r="A1840">
        <v>6811</v>
      </c>
      <c r="B1840" s="7">
        <v>45964</v>
      </c>
      <c r="C1840" t="s">
        <v>1696</v>
      </c>
      <c r="D1840" t="s">
        <v>1816</v>
      </c>
      <c r="E1840">
        <v>83.63</v>
      </c>
      <c r="G1840">
        <v>210</v>
      </c>
      <c r="H1840" s="7">
        <v>45962</v>
      </c>
      <c r="I1840" t="str">
        <f>VLOOKUP(G1840,Kostenstellen!$A$1:$C$17,2,0)</f>
        <v>Dev</v>
      </c>
    </row>
    <row r="1841" spans="1:9" x14ac:dyDescent="0.2">
      <c r="A1841">
        <v>6811</v>
      </c>
      <c r="B1841" s="7">
        <v>45964</v>
      </c>
      <c r="C1841" t="s">
        <v>1698</v>
      </c>
      <c r="D1841" t="s">
        <v>1817</v>
      </c>
      <c r="E1841">
        <v>4.87</v>
      </c>
      <c r="G1841">
        <v>210</v>
      </c>
      <c r="H1841" s="7">
        <v>45962</v>
      </c>
      <c r="I1841" t="str">
        <f>VLOOKUP(G1841,Kostenstellen!$A$1:$C$17,2,0)</f>
        <v>Dev</v>
      </c>
    </row>
    <row r="1842" spans="1:9" x14ac:dyDescent="0.2">
      <c r="A1842">
        <v>6811</v>
      </c>
      <c r="B1842" s="7">
        <v>45964</v>
      </c>
      <c r="C1842" t="s">
        <v>1818</v>
      </c>
      <c r="D1842" t="s">
        <v>1819</v>
      </c>
      <c r="E1842">
        <v>0.05</v>
      </c>
      <c r="G1842">
        <v>235</v>
      </c>
      <c r="H1842" s="7">
        <v>45962</v>
      </c>
      <c r="I1842" t="str">
        <f>VLOOKUP(G1842,Kostenstellen!$A$1:$C$17,2,0)</f>
        <v>Marketing</v>
      </c>
    </row>
    <row r="1843" spans="1:9" x14ac:dyDescent="0.2">
      <c r="A1843">
        <v>6811</v>
      </c>
      <c r="B1843" s="7">
        <v>45965</v>
      </c>
      <c r="C1843" t="s">
        <v>1820</v>
      </c>
      <c r="D1843" t="s">
        <v>1821</v>
      </c>
      <c r="E1843" s="6">
        <v>7297.59</v>
      </c>
      <c r="G1843">
        <v>210</v>
      </c>
      <c r="I1843" t="str">
        <f>VLOOKUP(G1843,Kostenstellen!$A$1:$C$17,2,0)</f>
        <v>Dev</v>
      </c>
    </row>
    <row r="1844" spans="1:9" x14ac:dyDescent="0.2">
      <c r="A1844">
        <v>6811</v>
      </c>
      <c r="B1844" s="7">
        <v>45965</v>
      </c>
      <c r="C1844" t="s">
        <v>1822</v>
      </c>
      <c r="D1844" t="s">
        <v>1823</v>
      </c>
      <c r="E1844">
        <v>204.74</v>
      </c>
      <c r="G1844">
        <v>210</v>
      </c>
      <c r="I1844" t="str">
        <f>VLOOKUP(G1844,Kostenstellen!$A$1:$C$17,2,0)</f>
        <v>Dev</v>
      </c>
    </row>
    <row r="1845" spans="1:9" x14ac:dyDescent="0.2">
      <c r="A1845">
        <v>6811</v>
      </c>
      <c r="B1845" s="7">
        <v>45965</v>
      </c>
      <c r="C1845" t="s">
        <v>1824</v>
      </c>
      <c r="D1845" t="s">
        <v>1825</v>
      </c>
      <c r="E1845">
        <v>31.3</v>
      </c>
      <c r="G1845">
        <v>210</v>
      </c>
      <c r="I1845" t="str">
        <f>VLOOKUP(G1845,Kostenstellen!$A$1:$C$17,2,0)</f>
        <v>Dev</v>
      </c>
    </row>
    <row r="1846" spans="1:9" x14ac:dyDescent="0.2">
      <c r="A1846">
        <v>6811</v>
      </c>
      <c r="B1846" s="7">
        <v>45965</v>
      </c>
      <c r="C1846" t="s">
        <v>1826</v>
      </c>
      <c r="D1846" t="s">
        <v>1827</v>
      </c>
      <c r="E1846">
        <v>31.3</v>
      </c>
      <c r="G1846">
        <v>210</v>
      </c>
      <c r="I1846" t="str">
        <f>VLOOKUP(G1846,Kostenstellen!$A$1:$C$17,2,0)</f>
        <v>Dev</v>
      </c>
    </row>
    <row r="1847" spans="1:9" x14ac:dyDescent="0.2">
      <c r="A1847">
        <v>6811</v>
      </c>
      <c r="B1847" s="7">
        <v>45971</v>
      </c>
      <c r="C1847" t="s">
        <v>1828</v>
      </c>
      <c r="D1847" t="s">
        <v>1829</v>
      </c>
      <c r="E1847">
        <v>111.68</v>
      </c>
      <c r="G1847">
        <v>210</v>
      </c>
      <c r="H1847" s="7">
        <v>45970</v>
      </c>
      <c r="I1847" t="str">
        <f>VLOOKUP(G1847,Kostenstellen!$A$1:$C$17,2,0)</f>
        <v>Dev</v>
      </c>
    </row>
    <row r="1848" spans="1:9" x14ac:dyDescent="0.2">
      <c r="A1848">
        <v>6811</v>
      </c>
      <c r="B1848" s="7">
        <v>45985</v>
      </c>
      <c r="C1848" t="s">
        <v>617</v>
      </c>
      <c r="D1848">
        <v>144783983</v>
      </c>
      <c r="E1848">
        <v>85.1</v>
      </c>
      <c r="G1848">
        <v>210</v>
      </c>
      <c r="H1848" s="7">
        <v>45982</v>
      </c>
      <c r="I1848" t="str">
        <f>VLOOKUP(G1848,Kostenstellen!$A$1:$C$17,2,0)</f>
        <v>Dev</v>
      </c>
    </row>
    <row r="1849" spans="1:9" x14ac:dyDescent="0.2">
      <c r="A1849">
        <v>6811</v>
      </c>
      <c r="B1849" s="7">
        <v>45988</v>
      </c>
      <c r="C1849" t="s">
        <v>1813</v>
      </c>
      <c r="D1849" t="s">
        <v>1830</v>
      </c>
      <c r="E1849">
        <v>24.37</v>
      </c>
      <c r="G1849">
        <v>210</v>
      </c>
      <c r="I1849" t="str">
        <f>VLOOKUP(G1849,Kostenstellen!$A$1:$C$17,2,0)</f>
        <v>Dev</v>
      </c>
    </row>
    <row r="1850" spans="1:9" x14ac:dyDescent="0.2">
      <c r="A1850">
        <v>6811</v>
      </c>
      <c r="B1850" s="7">
        <v>45991</v>
      </c>
      <c r="C1850" t="s">
        <v>1813</v>
      </c>
      <c r="D1850" t="s">
        <v>1831</v>
      </c>
      <c r="E1850">
        <v>10.08</v>
      </c>
      <c r="G1850">
        <v>210</v>
      </c>
      <c r="I1850" t="str">
        <f>VLOOKUP(G1850,Kostenstellen!$A$1:$C$17,2,0)</f>
        <v>Dev</v>
      </c>
    </row>
    <row r="1851" spans="1:9" x14ac:dyDescent="0.2">
      <c r="A1851">
        <v>6811</v>
      </c>
      <c r="B1851" s="7">
        <v>45992</v>
      </c>
      <c r="C1851" t="s">
        <v>617</v>
      </c>
      <c r="D1851">
        <v>144891812</v>
      </c>
      <c r="E1851">
        <v>14.13</v>
      </c>
      <c r="G1851">
        <v>210</v>
      </c>
      <c r="I1851" t="str">
        <f>VLOOKUP(G1851,Kostenstellen!$A$1:$C$17,2,0)</f>
        <v>Dev</v>
      </c>
    </row>
    <row r="1852" spans="1:9" x14ac:dyDescent="0.2">
      <c r="A1852">
        <v>6811</v>
      </c>
      <c r="B1852" s="7">
        <v>45993</v>
      </c>
      <c r="C1852" t="s">
        <v>1696</v>
      </c>
      <c r="D1852" t="s">
        <v>1832</v>
      </c>
      <c r="E1852">
        <v>77.38</v>
      </c>
      <c r="G1852">
        <v>210</v>
      </c>
      <c r="H1852" s="7">
        <v>45992</v>
      </c>
      <c r="I1852" t="str">
        <f>VLOOKUP(G1852,Kostenstellen!$A$1:$C$17,2,0)</f>
        <v>Dev</v>
      </c>
    </row>
    <row r="1853" spans="1:9" x14ac:dyDescent="0.2">
      <c r="A1853">
        <v>6811</v>
      </c>
      <c r="B1853" s="7">
        <v>45993</v>
      </c>
      <c r="C1853" t="s">
        <v>1698</v>
      </c>
      <c r="D1853" t="s">
        <v>1833</v>
      </c>
      <c r="E1853">
        <v>4.8600000000000003</v>
      </c>
      <c r="G1853">
        <v>210</v>
      </c>
      <c r="H1853" s="7">
        <v>45992</v>
      </c>
      <c r="I1853" t="str">
        <f>VLOOKUP(G1853,Kostenstellen!$A$1:$C$17,2,0)</f>
        <v>Dev</v>
      </c>
    </row>
    <row r="1854" spans="1:9" x14ac:dyDescent="0.2">
      <c r="A1854">
        <v>6811</v>
      </c>
      <c r="B1854" s="7">
        <v>45993</v>
      </c>
      <c r="C1854" t="s">
        <v>1834</v>
      </c>
      <c r="D1854" t="s">
        <v>1835</v>
      </c>
      <c r="E1854">
        <v>0.61</v>
      </c>
      <c r="G1854">
        <v>210</v>
      </c>
      <c r="I1854" t="str">
        <f>VLOOKUP(G1854,Kostenstellen!$A$1:$C$17,2,0)</f>
        <v>Dev</v>
      </c>
    </row>
    <row r="1855" spans="1:9" x14ac:dyDescent="0.2">
      <c r="A1855">
        <v>6811</v>
      </c>
      <c r="B1855" s="7">
        <v>45993</v>
      </c>
      <c r="C1855" t="s">
        <v>1813</v>
      </c>
      <c r="D1855" t="s">
        <v>1836</v>
      </c>
      <c r="E1855">
        <v>95.8</v>
      </c>
      <c r="G1855">
        <v>210</v>
      </c>
      <c r="I1855" t="str">
        <f>VLOOKUP(G1855,Kostenstellen!$A$1:$C$17,2,0)</f>
        <v>Dev</v>
      </c>
    </row>
    <row r="1856" spans="1:9" x14ac:dyDescent="0.2">
      <c r="A1856">
        <v>6811</v>
      </c>
      <c r="B1856" s="7">
        <v>45994</v>
      </c>
      <c r="C1856" t="s">
        <v>1837</v>
      </c>
      <c r="D1856" t="s">
        <v>1838</v>
      </c>
      <c r="E1856">
        <v>0.04</v>
      </c>
      <c r="G1856">
        <v>210</v>
      </c>
      <c r="I1856" t="str">
        <f>VLOOKUP(G1856,Kostenstellen!$A$1:$C$17,2,0)</f>
        <v>Dev</v>
      </c>
    </row>
    <row r="1857" spans="1:9" x14ac:dyDescent="0.2">
      <c r="A1857">
        <v>6811</v>
      </c>
      <c r="B1857" s="7">
        <v>45994</v>
      </c>
      <c r="C1857" t="s">
        <v>1839</v>
      </c>
      <c r="D1857" t="s">
        <v>1840</v>
      </c>
      <c r="E1857" s="6">
        <v>7520.68</v>
      </c>
      <c r="G1857">
        <v>210</v>
      </c>
      <c r="I1857" t="str">
        <f>VLOOKUP(G1857,Kostenstellen!$A$1:$C$17,2,0)</f>
        <v>Dev</v>
      </c>
    </row>
    <row r="1858" spans="1:9" x14ac:dyDescent="0.2">
      <c r="A1858">
        <v>6811</v>
      </c>
      <c r="B1858" s="7">
        <v>45994</v>
      </c>
      <c r="C1858" t="s">
        <v>1824</v>
      </c>
      <c r="D1858" t="s">
        <v>1823</v>
      </c>
      <c r="E1858">
        <v>204.74</v>
      </c>
      <c r="G1858">
        <v>210</v>
      </c>
      <c r="I1858" t="str">
        <f>VLOOKUP(G1858,Kostenstellen!$A$1:$C$17,2,0)</f>
        <v>Dev</v>
      </c>
    </row>
    <row r="1859" spans="1:9" x14ac:dyDescent="0.2">
      <c r="A1859">
        <v>6811</v>
      </c>
      <c r="B1859" s="7">
        <v>45994</v>
      </c>
      <c r="C1859" t="s">
        <v>1841</v>
      </c>
      <c r="D1859" t="s">
        <v>1825</v>
      </c>
      <c r="E1859">
        <v>31.3</v>
      </c>
      <c r="G1859">
        <v>210</v>
      </c>
      <c r="I1859" t="str">
        <f>VLOOKUP(G1859,Kostenstellen!$A$1:$C$17,2,0)</f>
        <v>Dev</v>
      </c>
    </row>
    <row r="1860" spans="1:9" x14ac:dyDescent="0.2">
      <c r="A1860">
        <v>6811</v>
      </c>
      <c r="B1860" s="7">
        <v>45994</v>
      </c>
      <c r="C1860" t="s">
        <v>1842</v>
      </c>
      <c r="D1860" t="s">
        <v>1843</v>
      </c>
      <c r="E1860">
        <v>31.3</v>
      </c>
      <c r="G1860">
        <v>210</v>
      </c>
      <c r="I1860" t="str">
        <f>VLOOKUP(G1860,Kostenstellen!$A$1:$C$17,2,0)</f>
        <v>Dev</v>
      </c>
    </row>
    <row r="1861" spans="1:9" x14ac:dyDescent="0.2">
      <c r="A1861">
        <v>6811</v>
      </c>
      <c r="B1861" s="7">
        <v>46000</v>
      </c>
      <c r="C1861" t="s">
        <v>1844</v>
      </c>
      <c r="D1861" t="s">
        <v>1845</v>
      </c>
      <c r="E1861">
        <v>108.37</v>
      </c>
      <c r="G1861">
        <v>210</v>
      </c>
      <c r="I1861" t="str">
        <f>VLOOKUP(G1861,Kostenstellen!$A$1:$C$17,2,0)</f>
        <v>Dev</v>
      </c>
    </row>
    <row r="1862" spans="1:9" x14ac:dyDescent="0.2">
      <c r="A1862">
        <v>6811</v>
      </c>
      <c r="B1862" s="7">
        <v>46007</v>
      </c>
      <c r="C1862" t="s">
        <v>1846</v>
      </c>
      <c r="D1862" t="s">
        <v>1847</v>
      </c>
      <c r="E1862">
        <v>224.37</v>
      </c>
      <c r="G1862">
        <v>210</v>
      </c>
      <c r="I1862" t="str">
        <f>VLOOKUP(G1862,Kostenstellen!$A$1:$C$17,2,0)</f>
        <v>Dev</v>
      </c>
    </row>
    <row r="1863" spans="1:9" x14ac:dyDescent="0.2">
      <c r="A1863">
        <v>6811</v>
      </c>
      <c r="B1863" s="7">
        <v>46018</v>
      </c>
      <c r="C1863" t="s">
        <v>1846</v>
      </c>
      <c r="D1863" t="s">
        <v>1848</v>
      </c>
      <c r="E1863">
        <v>24.37</v>
      </c>
      <c r="G1863">
        <v>210</v>
      </c>
      <c r="I1863" t="str">
        <f>VLOOKUP(G1863,Kostenstellen!$A$1:$C$17,2,0)</f>
        <v>Dev</v>
      </c>
    </row>
    <row r="1864" spans="1:9" x14ac:dyDescent="0.2">
      <c r="A1864">
        <v>6811</v>
      </c>
      <c r="B1864" s="7">
        <v>46021</v>
      </c>
      <c r="C1864" t="s">
        <v>1846</v>
      </c>
      <c r="D1864" t="s">
        <v>1849</v>
      </c>
      <c r="E1864">
        <v>10.08</v>
      </c>
      <c r="G1864">
        <v>210</v>
      </c>
      <c r="I1864" t="str">
        <f>VLOOKUP(G1864,Kostenstellen!$A$1:$C$17,2,0)</f>
        <v>Dev</v>
      </c>
    </row>
    <row r="1865" spans="1:9" x14ac:dyDescent="0.2">
      <c r="A1865">
        <v>6815</v>
      </c>
      <c r="B1865" s="7">
        <v>45709</v>
      </c>
      <c r="C1865" t="s">
        <v>1850</v>
      </c>
      <c r="D1865">
        <v>6114</v>
      </c>
      <c r="E1865">
        <v>13.33</v>
      </c>
      <c r="G1865">
        <v>200</v>
      </c>
      <c r="I1865" t="str">
        <f>VLOOKUP(G1865,Kostenstellen!$A$1:$C$17,2,0)</f>
        <v>aqua</v>
      </c>
    </row>
    <row r="1866" spans="1:9" x14ac:dyDescent="0.2">
      <c r="A1866">
        <v>6815</v>
      </c>
      <c r="B1866" s="7">
        <v>45709</v>
      </c>
      <c r="C1866" t="s">
        <v>1851</v>
      </c>
      <c r="D1866" t="s">
        <v>1852</v>
      </c>
      <c r="E1866">
        <v>3.61</v>
      </c>
      <c r="G1866">
        <v>200</v>
      </c>
      <c r="I1866" t="str">
        <f>VLOOKUP(G1866,Kostenstellen!$A$1:$C$17,2,0)</f>
        <v>aqua</v>
      </c>
    </row>
    <row r="1867" spans="1:9" x14ac:dyDescent="0.2">
      <c r="A1867">
        <v>6815</v>
      </c>
      <c r="B1867" s="7">
        <v>45999</v>
      </c>
      <c r="C1867" t="s">
        <v>1853</v>
      </c>
      <c r="D1867" t="s">
        <v>1854</v>
      </c>
      <c r="E1867">
        <v>10.91</v>
      </c>
      <c r="G1867">
        <v>202</v>
      </c>
      <c r="H1867" s="7">
        <v>45996</v>
      </c>
      <c r="I1867" t="str">
        <f>VLOOKUP(G1867,Kostenstellen!$A$1:$C$17,2,0)</f>
        <v>Recruiting</v>
      </c>
    </row>
    <row r="1868" spans="1:9" x14ac:dyDescent="0.2">
      <c r="A1868">
        <v>6821</v>
      </c>
      <c r="B1868" s="7">
        <v>45722</v>
      </c>
      <c r="C1868" t="s">
        <v>1855</v>
      </c>
      <c r="D1868" t="s">
        <v>1856</v>
      </c>
      <c r="E1868">
        <v>225</v>
      </c>
      <c r="G1868">
        <v>230</v>
      </c>
      <c r="I1868" t="str">
        <f>VLOOKUP(G1868,Kostenstellen!$A$1:$C$17,2,0)</f>
        <v>Sales</v>
      </c>
    </row>
    <row r="1869" spans="1:9" x14ac:dyDescent="0.2">
      <c r="A1869">
        <v>6821</v>
      </c>
      <c r="B1869" s="7">
        <v>46006</v>
      </c>
      <c r="C1869" t="s">
        <v>1857</v>
      </c>
      <c r="D1869" t="s">
        <v>1858</v>
      </c>
      <c r="E1869">
        <v>50</v>
      </c>
      <c r="G1869">
        <v>2018</v>
      </c>
      <c r="I1869" t="str">
        <f>VLOOKUP(G1869,Kostenstellen!$A$1:$C$17,2,0)</f>
        <v>Ali Lara</v>
      </c>
    </row>
    <row r="1870" spans="1:9" x14ac:dyDescent="0.2">
      <c r="A1870">
        <v>6821</v>
      </c>
      <c r="B1870" s="7">
        <v>46006</v>
      </c>
      <c r="C1870" t="s">
        <v>1857</v>
      </c>
      <c r="D1870" t="s">
        <v>1859</v>
      </c>
      <c r="E1870">
        <v>175</v>
      </c>
      <c r="G1870">
        <v>2018</v>
      </c>
      <c r="I1870" t="str">
        <f>VLOOKUP(G1870,Kostenstellen!$A$1:$C$17,2,0)</f>
        <v>Ali Lara</v>
      </c>
    </row>
    <row r="1871" spans="1:9" x14ac:dyDescent="0.2">
      <c r="A1871">
        <v>6825</v>
      </c>
      <c r="B1871" s="7">
        <v>45658</v>
      </c>
      <c r="C1871" t="s">
        <v>1860</v>
      </c>
      <c r="D1871" t="s">
        <v>1861</v>
      </c>
      <c r="E1871">
        <v>364.8</v>
      </c>
      <c r="G1871">
        <v>200</v>
      </c>
      <c r="I1871" t="str">
        <f>VLOOKUP(G1871,Kostenstellen!$A$1:$C$17,2,0)</f>
        <v>aqua</v>
      </c>
    </row>
    <row r="1872" spans="1:9" x14ac:dyDescent="0.2">
      <c r="A1872">
        <v>6825</v>
      </c>
      <c r="B1872" s="7">
        <v>45689</v>
      </c>
      <c r="C1872" t="s">
        <v>1862</v>
      </c>
      <c r="D1872" t="s">
        <v>1863</v>
      </c>
      <c r="E1872">
        <v>364.8</v>
      </c>
      <c r="G1872">
        <v>200</v>
      </c>
      <c r="I1872" t="str">
        <f>VLOOKUP(G1872,Kostenstellen!$A$1:$C$17,2,0)</f>
        <v>aqua</v>
      </c>
    </row>
    <row r="1873" spans="1:9" x14ac:dyDescent="0.2">
      <c r="A1873">
        <v>6825</v>
      </c>
      <c r="B1873" s="7">
        <v>45717</v>
      </c>
      <c r="C1873" t="s">
        <v>1864</v>
      </c>
      <c r="D1873" t="s">
        <v>1865</v>
      </c>
      <c r="E1873">
        <v>364.8</v>
      </c>
      <c r="G1873">
        <v>200</v>
      </c>
      <c r="I1873" t="str">
        <f>VLOOKUP(G1873,Kostenstellen!$A$1:$C$17,2,0)</f>
        <v>aqua</v>
      </c>
    </row>
    <row r="1874" spans="1:9" x14ac:dyDescent="0.2">
      <c r="A1874">
        <v>6825</v>
      </c>
      <c r="B1874" s="7">
        <v>45735</v>
      </c>
      <c r="C1874" t="s">
        <v>1866</v>
      </c>
      <c r="D1874" t="s">
        <v>1867</v>
      </c>
      <c r="E1874">
        <v>320</v>
      </c>
      <c r="G1874">
        <v>200</v>
      </c>
      <c r="I1874" t="str">
        <f>VLOOKUP(G1874,Kostenstellen!$A$1:$C$17,2,0)</f>
        <v>aqua</v>
      </c>
    </row>
    <row r="1875" spans="1:9" x14ac:dyDescent="0.2">
      <c r="A1875">
        <v>6825</v>
      </c>
      <c r="B1875" s="7">
        <v>45736</v>
      </c>
      <c r="C1875" t="s">
        <v>1868</v>
      </c>
      <c r="D1875" t="s">
        <v>1869</v>
      </c>
      <c r="E1875">
        <v>320</v>
      </c>
      <c r="G1875">
        <v>200</v>
      </c>
      <c r="I1875" t="str">
        <f>VLOOKUP(G1875,Kostenstellen!$A$1:$C$17,2,0)</f>
        <v>aqua</v>
      </c>
    </row>
    <row r="1876" spans="1:9" x14ac:dyDescent="0.2">
      <c r="A1876">
        <v>6825</v>
      </c>
      <c r="B1876" s="7">
        <v>45748</v>
      </c>
      <c r="C1876" t="s">
        <v>1870</v>
      </c>
      <c r="D1876" t="s">
        <v>1871</v>
      </c>
      <c r="E1876">
        <v>655.8</v>
      </c>
      <c r="G1876">
        <v>200</v>
      </c>
      <c r="I1876" t="str">
        <f>VLOOKUP(G1876,Kostenstellen!$A$1:$C$17,2,0)</f>
        <v>aqua</v>
      </c>
    </row>
    <row r="1877" spans="1:9" x14ac:dyDescent="0.2">
      <c r="A1877">
        <v>6825</v>
      </c>
      <c r="B1877" s="7">
        <v>45778</v>
      </c>
      <c r="C1877" t="s">
        <v>1872</v>
      </c>
      <c r="D1877" t="s">
        <v>1873</v>
      </c>
      <c r="E1877">
        <v>364.8</v>
      </c>
      <c r="G1877">
        <v>200</v>
      </c>
      <c r="I1877" t="str">
        <f>VLOOKUP(G1877,Kostenstellen!$A$1:$C$17,2,0)</f>
        <v>aqua</v>
      </c>
    </row>
    <row r="1878" spans="1:9" x14ac:dyDescent="0.2">
      <c r="A1878">
        <v>6825</v>
      </c>
      <c r="B1878" s="7">
        <v>45786</v>
      </c>
      <c r="C1878" t="s">
        <v>1874</v>
      </c>
      <c r="D1878">
        <v>2501079</v>
      </c>
      <c r="E1878" s="6">
        <v>1475</v>
      </c>
      <c r="G1878">
        <v>200</v>
      </c>
      <c r="H1878" s="7">
        <v>45777</v>
      </c>
      <c r="I1878" t="str">
        <f>VLOOKUP(G1878,Kostenstellen!$A$1:$C$17,2,0)</f>
        <v>aqua</v>
      </c>
    </row>
    <row r="1879" spans="1:9" x14ac:dyDescent="0.2">
      <c r="A1879">
        <v>6825</v>
      </c>
      <c r="B1879" s="7">
        <v>45811</v>
      </c>
      <c r="C1879" t="s">
        <v>1875</v>
      </c>
      <c r="D1879">
        <v>2501271</v>
      </c>
      <c r="E1879" s="6">
        <v>1087.5</v>
      </c>
      <c r="G1879">
        <v>200</v>
      </c>
      <c r="H1879" s="7">
        <v>45778</v>
      </c>
      <c r="I1879" t="str">
        <f>VLOOKUP(G1879,Kostenstellen!$A$1:$C$17,2,0)</f>
        <v>aqua</v>
      </c>
    </row>
    <row r="1880" spans="1:9" x14ac:dyDescent="0.2">
      <c r="A1880">
        <v>6825</v>
      </c>
      <c r="B1880" s="7">
        <v>45838</v>
      </c>
      <c r="C1880" t="s">
        <v>1876</v>
      </c>
      <c r="D1880" t="s">
        <v>352</v>
      </c>
      <c r="E1880">
        <v>364.8</v>
      </c>
      <c r="G1880">
        <v>200</v>
      </c>
      <c r="I1880" t="str">
        <f>VLOOKUP(G1880,Kostenstellen!$A$1:$C$17,2,0)</f>
        <v>aqua</v>
      </c>
    </row>
    <row r="1881" spans="1:9" x14ac:dyDescent="0.2">
      <c r="A1881">
        <v>6825</v>
      </c>
      <c r="B1881" s="7">
        <v>45838</v>
      </c>
      <c r="C1881" t="s">
        <v>1876</v>
      </c>
      <c r="D1881" t="s">
        <v>352</v>
      </c>
      <c r="E1881">
        <v>-364.8</v>
      </c>
      <c r="G1881">
        <v>200</v>
      </c>
      <c r="I1881" t="str">
        <f>VLOOKUP(G1881,Kostenstellen!$A$1:$C$17,2,0)</f>
        <v>aqua</v>
      </c>
    </row>
    <row r="1882" spans="1:9" x14ac:dyDescent="0.2">
      <c r="A1882">
        <v>6825</v>
      </c>
      <c r="B1882" s="7">
        <v>45839</v>
      </c>
      <c r="C1882" t="s">
        <v>1877</v>
      </c>
      <c r="D1882" t="s">
        <v>1878</v>
      </c>
      <c r="E1882">
        <v>364.8</v>
      </c>
      <c r="G1882">
        <v>200</v>
      </c>
      <c r="I1882" t="str">
        <f>VLOOKUP(G1882,Kostenstellen!$A$1:$C$17,2,0)</f>
        <v>aqua</v>
      </c>
    </row>
    <row r="1883" spans="1:9" x14ac:dyDescent="0.2">
      <c r="A1883">
        <v>6825</v>
      </c>
      <c r="B1883" s="7">
        <v>45839</v>
      </c>
      <c r="C1883" t="s">
        <v>1879</v>
      </c>
      <c r="D1883" t="s">
        <v>1880</v>
      </c>
      <c r="E1883">
        <v>364.8</v>
      </c>
      <c r="G1883">
        <v>200</v>
      </c>
      <c r="I1883" t="str">
        <f>VLOOKUP(G1883,Kostenstellen!$A$1:$C$17,2,0)</f>
        <v>aqua</v>
      </c>
    </row>
    <row r="1884" spans="1:9" x14ac:dyDescent="0.2">
      <c r="A1884">
        <v>6825</v>
      </c>
      <c r="B1884" s="7">
        <v>45869</v>
      </c>
      <c r="C1884" t="s">
        <v>1881</v>
      </c>
      <c r="D1884">
        <v>2025163262</v>
      </c>
      <c r="E1884">
        <v>480</v>
      </c>
      <c r="G1884">
        <v>200</v>
      </c>
      <c r="I1884" t="str">
        <f>VLOOKUP(G1884,Kostenstellen!$A$1:$C$17,2,0)</f>
        <v>aqua</v>
      </c>
    </row>
    <row r="1885" spans="1:9" x14ac:dyDescent="0.2">
      <c r="A1885">
        <v>6825</v>
      </c>
      <c r="B1885" s="7">
        <v>45870</v>
      </c>
      <c r="C1885" t="s">
        <v>1882</v>
      </c>
      <c r="D1885">
        <v>2501605</v>
      </c>
      <c r="E1885">
        <v>387.5</v>
      </c>
      <c r="G1885">
        <v>200</v>
      </c>
      <c r="H1885" s="7">
        <v>45839</v>
      </c>
      <c r="I1885" t="str">
        <f>VLOOKUP(G1885,Kostenstellen!$A$1:$C$17,2,0)</f>
        <v>aqua</v>
      </c>
    </row>
    <row r="1886" spans="1:9" x14ac:dyDescent="0.2">
      <c r="A1886">
        <v>6825</v>
      </c>
      <c r="B1886" s="7">
        <v>45870</v>
      </c>
      <c r="C1886" t="s">
        <v>1883</v>
      </c>
      <c r="D1886" t="s">
        <v>1884</v>
      </c>
      <c r="E1886">
        <v>364.8</v>
      </c>
      <c r="G1886">
        <v>200</v>
      </c>
      <c r="I1886" t="str">
        <f>VLOOKUP(G1886,Kostenstellen!$A$1:$C$17,2,0)</f>
        <v>aqua</v>
      </c>
    </row>
    <row r="1887" spans="1:9" x14ac:dyDescent="0.2">
      <c r="A1887">
        <v>6825</v>
      </c>
      <c r="B1887" s="7">
        <v>45901</v>
      </c>
      <c r="C1887" t="s">
        <v>1885</v>
      </c>
      <c r="D1887" t="s">
        <v>1886</v>
      </c>
      <c r="E1887">
        <v>364.8</v>
      </c>
      <c r="G1887">
        <v>200</v>
      </c>
      <c r="I1887" t="str">
        <f>VLOOKUP(G1887,Kostenstellen!$A$1:$C$17,2,0)</f>
        <v>aqua</v>
      </c>
    </row>
    <row r="1888" spans="1:9" x14ac:dyDescent="0.2">
      <c r="A1888">
        <v>6825</v>
      </c>
      <c r="B1888" s="7">
        <v>45931</v>
      </c>
      <c r="C1888" t="s">
        <v>1887</v>
      </c>
      <c r="D1888" t="s">
        <v>1888</v>
      </c>
      <c r="E1888">
        <v>364.8</v>
      </c>
      <c r="G1888">
        <v>200</v>
      </c>
      <c r="I1888" t="str">
        <f>VLOOKUP(G1888,Kostenstellen!$A$1:$C$17,2,0)</f>
        <v>aqua</v>
      </c>
    </row>
    <row r="1889" spans="1:9" x14ac:dyDescent="0.2">
      <c r="A1889">
        <v>6825</v>
      </c>
      <c r="B1889" s="7">
        <v>45962</v>
      </c>
      <c r="C1889" t="s">
        <v>1889</v>
      </c>
      <c r="D1889" t="s">
        <v>1890</v>
      </c>
      <c r="E1889">
        <v>364.8</v>
      </c>
      <c r="G1889">
        <v>200</v>
      </c>
      <c r="I1889" t="str">
        <f>VLOOKUP(G1889,Kostenstellen!$A$1:$C$17,2,0)</f>
        <v>aqua</v>
      </c>
    </row>
    <row r="1890" spans="1:9" x14ac:dyDescent="0.2">
      <c r="A1890">
        <v>6825</v>
      </c>
      <c r="B1890" s="7">
        <v>45992</v>
      </c>
      <c r="C1890" t="s">
        <v>1891</v>
      </c>
      <c r="D1890" t="s">
        <v>1892</v>
      </c>
      <c r="E1890">
        <v>364.8</v>
      </c>
      <c r="G1890">
        <v>200</v>
      </c>
      <c r="I1890" t="str">
        <f>VLOOKUP(G1890,Kostenstellen!$A$1:$C$17,2,0)</f>
        <v>aqua</v>
      </c>
    </row>
    <row r="1891" spans="1:9" x14ac:dyDescent="0.2">
      <c r="A1891">
        <v>6825</v>
      </c>
      <c r="B1891" s="7">
        <v>46022</v>
      </c>
      <c r="C1891" t="s">
        <v>1893</v>
      </c>
      <c r="D1891">
        <v>2025165108</v>
      </c>
      <c r="E1891">
        <v>235</v>
      </c>
      <c r="G1891">
        <v>200</v>
      </c>
      <c r="I1891" t="str">
        <f>VLOOKUP(G1891,Kostenstellen!$A$1:$C$17,2,0)</f>
        <v>aqua</v>
      </c>
    </row>
    <row r="1892" spans="1:9" x14ac:dyDescent="0.2">
      <c r="A1892">
        <v>6825</v>
      </c>
      <c r="B1892" s="7">
        <v>46022</v>
      </c>
      <c r="C1892" t="s">
        <v>1894</v>
      </c>
      <c r="D1892">
        <v>2025165152</v>
      </c>
      <c r="E1892">
        <v>303.5</v>
      </c>
      <c r="G1892">
        <v>200</v>
      </c>
      <c r="I1892" t="str">
        <f>VLOOKUP(G1892,Kostenstellen!$A$1:$C$17,2,0)</f>
        <v>aqua</v>
      </c>
    </row>
    <row r="1893" spans="1:9" x14ac:dyDescent="0.2">
      <c r="A1893">
        <v>6826</v>
      </c>
      <c r="B1893" s="7">
        <v>45658</v>
      </c>
      <c r="C1893" t="s">
        <v>1895</v>
      </c>
      <c r="D1893" t="s">
        <v>1896</v>
      </c>
      <c r="E1893" s="6">
        <v>4400</v>
      </c>
      <c r="G1893">
        <v>210</v>
      </c>
      <c r="I1893" t="str">
        <f>VLOOKUP(G1893,Kostenstellen!$A$1:$C$17,2,0)</f>
        <v>Dev</v>
      </c>
    </row>
    <row r="1894" spans="1:9" x14ac:dyDescent="0.2">
      <c r="A1894">
        <v>6826</v>
      </c>
      <c r="B1894" s="7">
        <v>45670</v>
      </c>
      <c r="C1894" t="s">
        <v>1897</v>
      </c>
      <c r="D1894" t="s">
        <v>1898</v>
      </c>
      <c r="E1894">
        <v>595.21</v>
      </c>
      <c r="G1894">
        <v>200</v>
      </c>
      <c r="I1894" t="str">
        <f>VLOOKUP(G1894,Kostenstellen!$A$1:$C$17,2,0)</f>
        <v>aqua</v>
      </c>
    </row>
    <row r="1895" spans="1:9" x14ac:dyDescent="0.2">
      <c r="A1895">
        <v>6826</v>
      </c>
      <c r="B1895" s="7">
        <v>45691</v>
      </c>
      <c r="C1895" t="s">
        <v>1899</v>
      </c>
      <c r="D1895">
        <v>1607</v>
      </c>
      <c r="E1895" s="6">
        <v>5600</v>
      </c>
      <c r="G1895">
        <v>201</v>
      </c>
      <c r="H1895" s="7">
        <v>45688</v>
      </c>
      <c r="I1895" t="str">
        <f>VLOOKUP(G1895,Kostenstellen!$A$1:$C$17,2,0)</f>
        <v>indirekte</v>
      </c>
    </row>
    <row r="1896" spans="1:9" x14ac:dyDescent="0.2">
      <c r="A1896">
        <v>6826</v>
      </c>
      <c r="B1896" s="7">
        <v>45694</v>
      </c>
      <c r="C1896" t="s">
        <v>1897</v>
      </c>
      <c r="D1896" t="s">
        <v>1900</v>
      </c>
      <c r="E1896">
        <v>595.91</v>
      </c>
      <c r="G1896">
        <v>200</v>
      </c>
      <c r="I1896" t="str">
        <f>VLOOKUP(G1896,Kostenstellen!$A$1:$C$17,2,0)</f>
        <v>aqua</v>
      </c>
    </row>
    <row r="1897" spans="1:9" x14ac:dyDescent="0.2">
      <c r="A1897">
        <v>6826</v>
      </c>
      <c r="B1897" s="7">
        <v>45717</v>
      </c>
      <c r="C1897" t="s">
        <v>1901</v>
      </c>
      <c r="D1897" t="s">
        <v>352</v>
      </c>
      <c r="E1897" s="6">
        <v>6040</v>
      </c>
      <c r="G1897">
        <v>200</v>
      </c>
      <c r="I1897" t="str">
        <f>VLOOKUP(G1897,Kostenstellen!$A$1:$C$17,2,0)</f>
        <v>aqua</v>
      </c>
    </row>
    <row r="1898" spans="1:9" x14ac:dyDescent="0.2">
      <c r="A1898">
        <v>6826</v>
      </c>
      <c r="B1898" s="7">
        <v>45719</v>
      </c>
      <c r="C1898" t="s">
        <v>1902</v>
      </c>
      <c r="D1898">
        <v>1670</v>
      </c>
      <c r="E1898" s="6">
        <v>5320</v>
      </c>
      <c r="G1898">
        <v>201</v>
      </c>
      <c r="H1898" s="7">
        <v>45716</v>
      </c>
      <c r="I1898" t="str">
        <f>VLOOKUP(G1898,Kostenstellen!$A$1:$C$17,2,0)</f>
        <v>indirekte</v>
      </c>
    </row>
    <row r="1899" spans="1:9" x14ac:dyDescent="0.2">
      <c r="A1899">
        <v>6826</v>
      </c>
      <c r="B1899" s="7">
        <v>45748</v>
      </c>
      <c r="C1899" t="s">
        <v>1901</v>
      </c>
      <c r="D1899" t="s">
        <v>352</v>
      </c>
      <c r="E1899" s="6">
        <v>6040</v>
      </c>
      <c r="G1899">
        <v>200</v>
      </c>
      <c r="I1899" t="str">
        <f>VLOOKUP(G1899,Kostenstellen!$A$1:$C$17,2,0)</f>
        <v>aqua</v>
      </c>
    </row>
    <row r="1900" spans="1:9" x14ac:dyDescent="0.2">
      <c r="A1900">
        <v>6826</v>
      </c>
      <c r="B1900" s="7">
        <v>45748</v>
      </c>
      <c r="C1900" t="s">
        <v>1903</v>
      </c>
      <c r="D1900">
        <v>1716</v>
      </c>
      <c r="E1900" s="6">
        <v>5600</v>
      </c>
      <c r="G1900">
        <v>201</v>
      </c>
      <c r="H1900" s="7">
        <v>45717</v>
      </c>
      <c r="I1900" t="str">
        <f>VLOOKUP(G1900,Kostenstellen!$A$1:$C$17,2,0)</f>
        <v>indirekte</v>
      </c>
    </row>
    <row r="1901" spans="1:9" x14ac:dyDescent="0.2">
      <c r="A1901">
        <v>6826</v>
      </c>
      <c r="B1901" s="7">
        <v>45778</v>
      </c>
      <c r="C1901" t="s">
        <v>1901</v>
      </c>
      <c r="D1901" t="s">
        <v>352</v>
      </c>
      <c r="E1901" s="6">
        <v>6040</v>
      </c>
      <c r="G1901">
        <v>200</v>
      </c>
      <c r="I1901" t="str">
        <f>VLOOKUP(G1901,Kostenstellen!$A$1:$C$17,2,0)</f>
        <v>aqua</v>
      </c>
    </row>
    <row r="1902" spans="1:9" x14ac:dyDescent="0.2">
      <c r="A1902">
        <v>6826</v>
      </c>
      <c r="B1902" s="7">
        <v>45779</v>
      </c>
      <c r="C1902" t="s">
        <v>1904</v>
      </c>
      <c r="D1902">
        <v>1778</v>
      </c>
      <c r="E1902" s="6">
        <v>5880</v>
      </c>
      <c r="G1902">
        <v>201</v>
      </c>
      <c r="H1902" s="7">
        <v>45748</v>
      </c>
      <c r="I1902" t="str">
        <f>VLOOKUP(G1902,Kostenstellen!$A$1:$C$17,2,0)</f>
        <v>indirekte</v>
      </c>
    </row>
    <row r="1903" spans="1:9" x14ac:dyDescent="0.2">
      <c r="A1903">
        <v>6826</v>
      </c>
      <c r="B1903" s="7">
        <v>45809</v>
      </c>
      <c r="C1903" t="s">
        <v>1901</v>
      </c>
      <c r="D1903" t="s">
        <v>352</v>
      </c>
      <c r="E1903" s="6">
        <v>6040</v>
      </c>
      <c r="G1903">
        <v>200</v>
      </c>
      <c r="I1903" t="str">
        <f>VLOOKUP(G1903,Kostenstellen!$A$1:$C$17,2,0)</f>
        <v>aqua</v>
      </c>
    </row>
    <row r="1904" spans="1:9" x14ac:dyDescent="0.2">
      <c r="A1904">
        <v>6826</v>
      </c>
      <c r="B1904" s="7">
        <v>45810</v>
      </c>
      <c r="C1904" t="s">
        <v>1905</v>
      </c>
      <c r="D1904">
        <v>1827</v>
      </c>
      <c r="E1904" s="6">
        <v>5232.5</v>
      </c>
      <c r="G1904">
        <v>201</v>
      </c>
      <c r="H1904" s="7">
        <v>45778</v>
      </c>
      <c r="I1904" t="str">
        <f>VLOOKUP(G1904,Kostenstellen!$A$1:$C$17,2,0)</f>
        <v>indirekte</v>
      </c>
    </row>
    <row r="1905" spans="1:9" x14ac:dyDescent="0.2">
      <c r="A1905">
        <v>6826</v>
      </c>
      <c r="B1905" s="7">
        <v>45838</v>
      </c>
      <c r="C1905" t="s">
        <v>1906</v>
      </c>
      <c r="D1905" t="s">
        <v>352</v>
      </c>
      <c r="E1905">
        <v>673.3</v>
      </c>
      <c r="G1905">
        <v>200</v>
      </c>
      <c r="I1905" t="str">
        <f>VLOOKUP(G1905,Kostenstellen!$A$1:$C$17,2,0)</f>
        <v>aqua</v>
      </c>
    </row>
    <row r="1906" spans="1:9" x14ac:dyDescent="0.2">
      <c r="A1906">
        <v>6826</v>
      </c>
      <c r="B1906" s="7">
        <v>45839</v>
      </c>
      <c r="C1906" t="s">
        <v>1901</v>
      </c>
      <c r="D1906" t="s">
        <v>352</v>
      </c>
      <c r="E1906" s="6">
        <v>6040</v>
      </c>
      <c r="G1906">
        <v>200</v>
      </c>
      <c r="I1906" t="str">
        <f>VLOOKUP(G1906,Kostenstellen!$A$1:$C$17,2,0)</f>
        <v>aqua</v>
      </c>
    </row>
    <row r="1907" spans="1:9" x14ac:dyDescent="0.2">
      <c r="A1907">
        <v>6826</v>
      </c>
      <c r="B1907" s="7">
        <v>45839</v>
      </c>
      <c r="C1907" t="s">
        <v>1907</v>
      </c>
      <c r="D1907">
        <v>1881</v>
      </c>
      <c r="E1907" s="6">
        <v>5320</v>
      </c>
      <c r="G1907">
        <v>201</v>
      </c>
      <c r="H1907" s="7">
        <v>45838</v>
      </c>
      <c r="I1907" t="str">
        <f>VLOOKUP(G1907,Kostenstellen!$A$1:$C$17,2,0)</f>
        <v>indirekte</v>
      </c>
    </row>
    <row r="1908" spans="1:9" x14ac:dyDescent="0.2">
      <c r="A1908">
        <v>6826</v>
      </c>
      <c r="B1908" s="7">
        <v>45869</v>
      </c>
      <c r="C1908" t="s">
        <v>1906</v>
      </c>
      <c r="D1908" t="s">
        <v>352</v>
      </c>
      <c r="E1908">
        <v>673.3</v>
      </c>
      <c r="G1908">
        <v>200</v>
      </c>
      <c r="I1908" t="str">
        <f>VLOOKUP(G1908,Kostenstellen!$A$1:$C$17,2,0)</f>
        <v>aqua</v>
      </c>
    </row>
    <row r="1909" spans="1:9" x14ac:dyDescent="0.2">
      <c r="A1909">
        <v>6826</v>
      </c>
      <c r="B1909" s="7">
        <v>45870</v>
      </c>
      <c r="C1909" t="s">
        <v>1901</v>
      </c>
      <c r="D1909" t="s">
        <v>352</v>
      </c>
      <c r="E1909" s="6">
        <v>6040</v>
      </c>
      <c r="G1909">
        <v>200</v>
      </c>
      <c r="I1909" t="str">
        <f>VLOOKUP(G1909,Kostenstellen!$A$1:$C$17,2,0)</f>
        <v>aqua</v>
      </c>
    </row>
    <row r="1910" spans="1:9" x14ac:dyDescent="0.2">
      <c r="A1910">
        <v>6826</v>
      </c>
      <c r="B1910" s="7">
        <v>45870</v>
      </c>
      <c r="C1910" t="s">
        <v>1908</v>
      </c>
      <c r="D1910">
        <v>1923</v>
      </c>
      <c r="E1910" s="6">
        <v>6020</v>
      </c>
      <c r="G1910">
        <v>201</v>
      </c>
      <c r="H1910" s="7">
        <v>45839</v>
      </c>
      <c r="I1910" t="str">
        <f>VLOOKUP(G1910,Kostenstellen!$A$1:$C$17,2,0)</f>
        <v>indirekte</v>
      </c>
    </row>
    <row r="1911" spans="1:9" x14ac:dyDescent="0.2">
      <c r="A1911">
        <v>6826</v>
      </c>
      <c r="B1911" s="7">
        <v>45900</v>
      </c>
      <c r="C1911" t="s">
        <v>1906</v>
      </c>
      <c r="D1911" t="s">
        <v>352</v>
      </c>
      <c r="E1911">
        <v>673.3</v>
      </c>
      <c r="G1911">
        <v>200</v>
      </c>
      <c r="I1911" t="str">
        <f>VLOOKUP(G1911,Kostenstellen!$A$1:$C$17,2,0)</f>
        <v>aqua</v>
      </c>
    </row>
    <row r="1912" spans="1:9" x14ac:dyDescent="0.2">
      <c r="A1912">
        <v>6826</v>
      </c>
      <c r="B1912" s="7">
        <v>45901</v>
      </c>
      <c r="C1912" t="s">
        <v>1901</v>
      </c>
      <c r="D1912" t="s">
        <v>352</v>
      </c>
      <c r="E1912" s="6">
        <v>6040</v>
      </c>
      <c r="G1912">
        <v>200</v>
      </c>
      <c r="I1912" t="str">
        <f>VLOOKUP(G1912,Kostenstellen!$A$1:$C$17,2,0)</f>
        <v>aqua</v>
      </c>
    </row>
    <row r="1913" spans="1:9" x14ac:dyDescent="0.2">
      <c r="A1913">
        <v>6826</v>
      </c>
      <c r="B1913" s="7">
        <v>45901</v>
      </c>
      <c r="C1913" t="s">
        <v>1909</v>
      </c>
      <c r="D1913">
        <v>1984</v>
      </c>
      <c r="E1913" s="6">
        <v>3640</v>
      </c>
      <c r="G1913">
        <v>201</v>
      </c>
      <c r="H1913" s="7">
        <v>45870</v>
      </c>
      <c r="I1913" t="str">
        <f>VLOOKUP(G1913,Kostenstellen!$A$1:$C$17,2,0)</f>
        <v>indirekte</v>
      </c>
    </row>
    <row r="1914" spans="1:9" x14ac:dyDescent="0.2">
      <c r="A1914">
        <v>6826</v>
      </c>
      <c r="B1914" s="7">
        <v>45930</v>
      </c>
      <c r="C1914" t="s">
        <v>1906</v>
      </c>
      <c r="D1914" t="s">
        <v>352</v>
      </c>
      <c r="E1914">
        <v>673.3</v>
      </c>
      <c r="G1914">
        <v>200</v>
      </c>
      <c r="I1914" t="str">
        <f>VLOOKUP(G1914,Kostenstellen!$A$1:$C$17,2,0)</f>
        <v>aqua</v>
      </c>
    </row>
    <row r="1915" spans="1:9" x14ac:dyDescent="0.2">
      <c r="A1915">
        <v>6826</v>
      </c>
      <c r="B1915" s="7">
        <v>45931</v>
      </c>
      <c r="C1915" t="s">
        <v>1901</v>
      </c>
      <c r="D1915" t="s">
        <v>352</v>
      </c>
      <c r="E1915" s="6">
        <v>6040</v>
      </c>
      <c r="G1915">
        <v>200</v>
      </c>
      <c r="I1915" t="str">
        <f>VLOOKUP(G1915,Kostenstellen!$A$1:$C$17,2,0)</f>
        <v>aqua</v>
      </c>
    </row>
    <row r="1916" spans="1:9" x14ac:dyDescent="0.2">
      <c r="A1916">
        <v>6826</v>
      </c>
      <c r="B1916" s="7">
        <v>45932</v>
      </c>
      <c r="C1916" t="s">
        <v>1910</v>
      </c>
      <c r="D1916" t="s">
        <v>908</v>
      </c>
      <c r="E1916" s="6">
        <v>6160</v>
      </c>
      <c r="G1916">
        <v>201</v>
      </c>
      <c r="H1916" s="7">
        <v>45901</v>
      </c>
      <c r="I1916" t="str">
        <f>VLOOKUP(G1916,Kostenstellen!$A$1:$C$17,2,0)</f>
        <v>indirekte</v>
      </c>
    </row>
    <row r="1917" spans="1:9" x14ac:dyDescent="0.2">
      <c r="A1917">
        <v>6826</v>
      </c>
      <c r="B1917" s="7">
        <v>45961</v>
      </c>
      <c r="C1917" t="s">
        <v>1906</v>
      </c>
      <c r="D1917" t="s">
        <v>352</v>
      </c>
      <c r="E1917">
        <v>673.3</v>
      </c>
      <c r="G1917">
        <v>200</v>
      </c>
      <c r="I1917" t="str">
        <f>VLOOKUP(G1917,Kostenstellen!$A$1:$C$17,2,0)</f>
        <v>aqua</v>
      </c>
    </row>
    <row r="1918" spans="1:9" x14ac:dyDescent="0.2">
      <c r="A1918">
        <v>6826</v>
      </c>
      <c r="B1918" s="7">
        <v>45962</v>
      </c>
      <c r="C1918" t="s">
        <v>1901</v>
      </c>
      <c r="D1918" t="s">
        <v>352</v>
      </c>
      <c r="E1918" s="6">
        <v>6040</v>
      </c>
      <c r="G1918">
        <v>200</v>
      </c>
      <c r="I1918" t="str">
        <f>VLOOKUP(G1918,Kostenstellen!$A$1:$C$17,2,0)</f>
        <v>aqua</v>
      </c>
    </row>
    <row r="1919" spans="1:9" x14ac:dyDescent="0.2">
      <c r="A1919">
        <v>6826</v>
      </c>
      <c r="B1919" s="7">
        <v>45964</v>
      </c>
      <c r="C1919" t="s">
        <v>1911</v>
      </c>
      <c r="D1919">
        <v>2086</v>
      </c>
      <c r="E1919" s="6">
        <v>6160</v>
      </c>
      <c r="G1919">
        <v>201</v>
      </c>
      <c r="H1919" s="7">
        <v>45960</v>
      </c>
      <c r="I1919" t="str">
        <f>VLOOKUP(G1919,Kostenstellen!$A$1:$C$17,2,0)</f>
        <v>indirekte</v>
      </c>
    </row>
    <row r="1920" spans="1:9" x14ac:dyDescent="0.2">
      <c r="A1920">
        <v>6826</v>
      </c>
      <c r="B1920" s="7">
        <v>45991</v>
      </c>
      <c r="C1920" t="s">
        <v>1906</v>
      </c>
      <c r="D1920" t="s">
        <v>352</v>
      </c>
      <c r="E1920">
        <v>673.3</v>
      </c>
      <c r="G1920">
        <v>200</v>
      </c>
      <c r="I1920" t="str">
        <f>VLOOKUP(G1920,Kostenstellen!$A$1:$C$17,2,0)</f>
        <v>aqua</v>
      </c>
    </row>
    <row r="1921" spans="1:9" x14ac:dyDescent="0.2">
      <c r="A1921">
        <v>6826</v>
      </c>
      <c r="B1921" s="7">
        <v>45992</v>
      </c>
      <c r="C1921" t="s">
        <v>1901</v>
      </c>
      <c r="D1921" t="s">
        <v>352</v>
      </c>
      <c r="E1921" s="6">
        <v>6040</v>
      </c>
      <c r="G1921">
        <v>200</v>
      </c>
      <c r="I1921" t="str">
        <f>VLOOKUP(G1921,Kostenstellen!$A$1:$C$17,2,0)</f>
        <v>aqua</v>
      </c>
    </row>
    <row r="1922" spans="1:9" x14ac:dyDescent="0.2">
      <c r="A1922">
        <v>6826</v>
      </c>
      <c r="B1922" s="7">
        <v>45992</v>
      </c>
      <c r="C1922" t="s">
        <v>1912</v>
      </c>
      <c r="D1922">
        <v>2130</v>
      </c>
      <c r="E1922" s="6">
        <v>5600</v>
      </c>
      <c r="G1922">
        <v>201</v>
      </c>
      <c r="H1922" s="7">
        <v>45962</v>
      </c>
      <c r="I1922" t="str">
        <f>VLOOKUP(G1922,Kostenstellen!$A$1:$C$17,2,0)</f>
        <v>indirekte</v>
      </c>
    </row>
    <row r="1923" spans="1:9" x14ac:dyDescent="0.2">
      <c r="A1923">
        <v>6826</v>
      </c>
      <c r="B1923" s="7">
        <v>46022</v>
      </c>
      <c r="C1923" t="s">
        <v>1906</v>
      </c>
      <c r="D1923" t="s">
        <v>352</v>
      </c>
      <c r="E1923">
        <v>673.3</v>
      </c>
      <c r="G1923">
        <v>200</v>
      </c>
      <c r="I1923" t="str">
        <f>VLOOKUP(G1923,Kostenstellen!$A$1:$C$17,2,0)</f>
        <v>aqua</v>
      </c>
    </row>
    <row r="1924" spans="1:9" x14ac:dyDescent="0.2">
      <c r="A1924">
        <v>6826</v>
      </c>
      <c r="B1924" s="7">
        <v>46022</v>
      </c>
      <c r="C1924" t="s">
        <v>1912</v>
      </c>
      <c r="D1924" t="s">
        <v>352</v>
      </c>
      <c r="E1924" s="6">
        <v>5040</v>
      </c>
      <c r="G1924">
        <v>220</v>
      </c>
      <c r="I1924" t="str">
        <f>VLOOKUP(G1924,Kostenstellen!$A$1:$C$17,2,0)</f>
        <v>Product</v>
      </c>
    </row>
    <row r="1925" spans="1:9" x14ac:dyDescent="0.2">
      <c r="A1925">
        <v>6826</v>
      </c>
      <c r="B1925" s="7">
        <v>46022</v>
      </c>
      <c r="C1925" t="s">
        <v>1913</v>
      </c>
      <c r="D1925" t="s">
        <v>1914</v>
      </c>
      <c r="E1925">
        <v>634.27</v>
      </c>
      <c r="G1925">
        <v>200</v>
      </c>
      <c r="I1925" t="str">
        <f>VLOOKUP(G1925,Kostenstellen!$A$1:$C$17,2,0)</f>
        <v>aqua</v>
      </c>
    </row>
    <row r="1926" spans="1:9" x14ac:dyDescent="0.2">
      <c r="A1926">
        <v>6826</v>
      </c>
      <c r="B1926" s="7">
        <v>46022</v>
      </c>
      <c r="C1926" t="s">
        <v>1913</v>
      </c>
      <c r="D1926" s="7">
        <v>46023</v>
      </c>
      <c r="E1926" s="6">
        <v>4195.8</v>
      </c>
      <c r="G1926">
        <v>200</v>
      </c>
      <c r="I1926" t="str">
        <f>VLOOKUP(G1926,Kostenstellen!$A$1:$C$17,2,0)</f>
        <v>aqua</v>
      </c>
    </row>
    <row r="1927" spans="1:9" x14ac:dyDescent="0.2">
      <c r="A1927">
        <v>6827</v>
      </c>
      <c r="B1927" s="7">
        <v>45686</v>
      </c>
      <c r="C1927" t="s">
        <v>1915</v>
      </c>
      <c r="D1927">
        <v>95738992</v>
      </c>
      <c r="E1927">
        <v>47.8</v>
      </c>
      <c r="G1927">
        <v>200</v>
      </c>
      <c r="H1927" s="7">
        <v>45685</v>
      </c>
      <c r="I1927" t="str">
        <f>VLOOKUP(G1927,Kostenstellen!$A$1:$C$17,2,0)</f>
        <v>aqua</v>
      </c>
    </row>
    <row r="1928" spans="1:9" x14ac:dyDescent="0.2">
      <c r="A1928">
        <v>6827</v>
      </c>
      <c r="B1928" s="7">
        <v>45688</v>
      </c>
      <c r="C1928" t="s">
        <v>1916</v>
      </c>
      <c r="D1928" t="s">
        <v>352</v>
      </c>
      <c r="E1928">
        <v>580</v>
      </c>
      <c r="G1928">
        <v>200</v>
      </c>
      <c r="I1928" t="str">
        <f>VLOOKUP(G1928,Kostenstellen!$A$1:$C$17,2,0)</f>
        <v>aqua</v>
      </c>
    </row>
    <row r="1929" spans="1:9" x14ac:dyDescent="0.2">
      <c r="A1929">
        <v>6827</v>
      </c>
      <c r="B1929" s="7">
        <v>45688</v>
      </c>
      <c r="C1929" t="s">
        <v>1917</v>
      </c>
      <c r="D1929">
        <v>95758841</v>
      </c>
      <c r="E1929">
        <v>41.3</v>
      </c>
      <c r="G1929">
        <v>200</v>
      </c>
      <c r="H1929" s="7">
        <v>45687</v>
      </c>
      <c r="I1929" t="str">
        <f>VLOOKUP(G1929,Kostenstellen!$A$1:$C$17,2,0)</f>
        <v>aqua</v>
      </c>
    </row>
    <row r="1930" spans="1:9" x14ac:dyDescent="0.2">
      <c r="A1930">
        <v>6827</v>
      </c>
      <c r="B1930" s="7">
        <v>45716</v>
      </c>
      <c r="C1930" t="s">
        <v>1916</v>
      </c>
      <c r="D1930" t="s">
        <v>352</v>
      </c>
      <c r="E1930">
        <v>580</v>
      </c>
      <c r="G1930">
        <v>200</v>
      </c>
      <c r="I1930" t="str">
        <f>VLOOKUP(G1930,Kostenstellen!$A$1:$C$17,2,0)</f>
        <v>aqua</v>
      </c>
    </row>
    <row r="1931" spans="1:9" x14ac:dyDescent="0.2">
      <c r="A1931">
        <v>6827</v>
      </c>
      <c r="B1931" s="7">
        <v>45747</v>
      </c>
      <c r="C1931" t="s">
        <v>1916</v>
      </c>
      <c r="D1931" t="s">
        <v>352</v>
      </c>
      <c r="E1931">
        <v>580</v>
      </c>
      <c r="G1931">
        <v>200</v>
      </c>
      <c r="I1931" t="str">
        <f>VLOOKUP(G1931,Kostenstellen!$A$1:$C$17,2,0)</f>
        <v>aqua</v>
      </c>
    </row>
    <row r="1932" spans="1:9" x14ac:dyDescent="0.2">
      <c r="A1932">
        <v>6827</v>
      </c>
      <c r="B1932" s="7">
        <v>45777</v>
      </c>
      <c r="C1932" t="s">
        <v>1916</v>
      </c>
      <c r="D1932" t="s">
        <v>352</v>
      </c>
      <c r="E1932">
        <v>580</v>
      </c>
      <c r="G1932">
        <v>200</v>
      </c>
      <c r="I1932" t="str">
        <f>VLOOKUP(G1932,Kostenstellen!$A$1:$C$17,2,0)</f>
        <v>aqua</v>
      </c>
    </row>
    <row r="1933" spans="1:9" x14ac:dyDescent="0.2">
      <c r="A1933">
        <v>6827</v>
      </c>
      <c r="B1933" s="7">
        <v>45808</v>
      </c>
      <c r="C1933" t="s">
        <v>1916</v>
      </c>
      <c r="D1933" t="s">
        <v>352</v>
      </c>
      <c r="E1933">
        <v>580</v>
      </c>
      <c r="G1933">
        <v>200</v>
      </c>
      <c r="I1933" t="str">
        <f>VLOOKUP(G1933,Kostenstellen!$A$1:$C$17,2,0)</f>
        <v>aqua</v>
      </c>
    </row>
    <row r="1934" spans="1:9" x14ac:dyDescent="0.2">
      <c r="A1934">
        <v>6827</v>
      </c>
      <c r="B1934" s="7">
        <v>45838</v>
      </c>
      <c r="C1934" t="s">
        <v>1916</v>
      </c>
      <c r="D1934" t="s">
        <v>352</v>
      </c>
      <c r="E1934">
        <v>580</v>
      </c>
      <c r="G1934">
        <v>200</v>
      </c>
      <c r="I1934" t="str">
        <f>VLOOKUP(G1934,Kostenstellen!$A$1:$C$17,2,0)</f>
        <v>aqua</v>
      </c>
    </row>
    <row r="1935" spans="1:9" x14ac:dyDescent="0.2">
      <c r="A1935">
        <v>6827</v>
      </c>
      <c r="B1935" s="7">
        <v>45869</v>
      </c>
      <c r="C1935" t="s">
        <v>1916</v>
      </c>
      <c r="D1935" t="s">
        <v>352</v>
      </c>
      <c r="E1935">
        <v>580</v>
      </c>
      <c r="G1935">
        <v>200</v>
      </c>
      <c r="I1935" t="str">
        <f>VLOOKUP(G1935,Kostenstellen!$A$1:$C$17,2,0)</f>
        <v>aqua</v>
      </c>
    </row>
    <row r="1936" spans="1:9" x14ac:dyDescent="0.2">
      <c r="A1936">
        <v>6827</v>
      </c>
      <c r="B1936" s="7">
        <v>45900</v>
      </c>
      <c r="C1936" t="s">
        <v>1916</v>
      </c>
      <c r="D1936" t="s">
        <v>352</v>
      </c>
      <c r="E1936">
        <v>580</v>
      </c>
      <c r="G1936">
        <v>200</v>
      </c>
      <c r="I1936" t="str">
        <f>VLOOKUP(G1936,Kostenstellen!$A$1:$C$17,2,0)</f>
        <v>aqua</v>
      </c>
    </row>
    <row r="1937" spans="1:9" x14ac:dyDescent="0.2">
      <c r="A1937">
        <v>6827</v>
      </c>
      <c r="B1937" s="7">
        <v>45930</v>
      </c>
      <c r="C1937" t="s">
        <v>1916</v>
      </c>
      <c r="D1937" t="s">
        <v>352</v>
      </c>
      <c r="E1937">
        <v>580</v>
      </c>
      <c r="G1937">
        <v>200</v>
      </c>
      <c r="I1937" t="str">
        <f>VLOOKUP(G1937,Kostenstellen!$A$1:$C$17,2,0)</f>
        <v>aqua</v>
      </c>
    </row>
    <row r="1938" spans="1:9" x14ac:dyDescent="0.2">
      <c r="A1938">
        <v>6827</v>
      </c>
      <c r="B1938" s="7">
        <v>45961</v>
      </c>
      <c r="C1938" t="s">
        <v>1916</v>
      </c>
      <c r="D1938" t="s">
        <v>352</v>
      </c>
      <c r="E1938">
        <v>580</v>
      </c>
      <c r="G1938">
        <v>200</v>
      </c>
      <c r="I1938" t="str">
        <f>VLOOKUP(G1938,Kostenstellen!$A$1:$C$17,2,0)</f>
        <v>aqua</v>
      </c>
    </row>
    <row r="1939" spans="1:9" x14ac:dyDescent="0.2">
      <c r="A1939">
        <v>6827</v>
      </c>
      <c r="B1939" s="7">
        <v>45991</v>
      </c>
      <c r="C1939" t="s">
        <v>1916</v>
      </c>
      <c r="D1939" t="s">
        <v>352</v>
      </c>
      <c r="E1939">
        <v>580</v>
      </c>
      <c r="G1939">
        <v>200</v>
      </c>
      <c r="I1939" t="str">
        <f>VLOOKUP(G1939,Kostenstellen!$A$1:$C$17,2,0)</f>
        <v>aqua</v>
      </c>
    </row>
    <row r="1940" spans="1:9" x14ac:dyDescent="0.2">
      <c r="A1940">
        <v>6827</v>
      </c>
      <c r="B1940" s="7">
        <v>46022</v>
      </c>
      <c r="C1940" t="s">
        <v>1916</v>
      </c>
      <c r="D1940" t="s">
        <v>352</v>
      </c>
      <c r="E1940">
        <v>580</v>
      </c>
      <c r="G1940">
        <v>200</v>
      </c>
      <c r="I1940" t="str">
        <f>VLOOKUP(G1940,Kostenstellen!$A$1:$C$17,2,0)</f>
        <v>aqua</v>
      </c>
    </row>
    <row r="1941" spans="1:9" x14ac:dyDescent="0.2">
      <c r="A1941">
        <v>6830</v>
      </c>
      <c r="B1941" s="7">
        <v>45688</v>
      </c>
      <c r="C1941" t="s">
        <v>1918</v>
      </c>
      <c r="D1941">
        <v>20255000001</v>
      </c>
      <c r="E1941" s="6">
        <v>1900</v>
      </c>
      <c r="G1941">
        <v>200</v>
      </c>
      <c r="I1941" t="str">
        <f>VLOOKUP(G1941,Kostenstellen!$A$1:$C$17,2,0)</f>
        <v>aqua</v>
      </c>
    </row>
    <row r="1942" spans="1:9" x14ac:dyDescent="0.2">
      <c r="A1942">
        <v>6830</v>
      </c>
      <c r="B1942" s="7">
        <v>45716</v>
      </c>
      <c r="C1942" t="s">
        <v>1918</v>
      </c>
      <c r="D1942">
        <v>20255000001</v>
      </c>
      <c r="E1942" s="6">
        <v>1900</v>
      </c>
      <c r="G1942">
        <v>200</v>
      </c>
      <c r="I1942" t="str">
        <f>VLOOKUP(G1942,Kostenstellen!$A$1:$C$17,2,0)</f>
        <v>aqua</v>
      </c>
    </row>
    <row r="1943" spans="1:9" x14ac:dyDescent="0.2">
      <c r="A1943">
        <v>6830</v>
      </c>
      <c r="B1943" s="7">
        <v>45747</v>
      </c>
      <c r="C1943" t="s">
        <v>1918</v>
      </c>
      <c r="D1943">
        <v>20255000001</v>
      </c>
      <c r="E1943" s="6">
        <v>1900</v>
      </c>
      <c r="G1943">
        <v>200</v>
      </c>
      <c r="I1943" t="str">
        <f>VLOOKUP(G1943,Kostenstellen!$A$1:$C$17,2,0)</f>
        <v>aqua</v>
      </c>
    </row>
    <row r="1944" spans="1:9" x14ac:dyDescent="0.2">
      <c r="A1944">
        <v>6830</v>
      </c>
      <c r="B1944" s="7">
        <v>45777</v>
      </c>
      <c r="C1944" t="s">
        <v>1918</v>
      </c>
      <c r="D1944">
        <v>20255000001</v>
      </c>
      <c r="E1944" s="6">
        <v>1900</v>
      </c>
      <c r="G1944">
        <v>200</v>
      </c>
      <c r="I1944" t="str">
        <f>VLOOKUP(G1944,Kostenstellen!$A$1:$C$17,2,0)</f>
        <v>aqua</v>
      </c>
    </row>
    <row r="1945" spans="1:9" x14ac:dyDescent="0.2">
      <c r="A1945">
        <v>6830</v>
      </c>
      <c r="B1945" s="7">
        <v>45808</v>
      </c>
      <c r="C1945" t="s">
        <v>1918</v>
      </c>
      <c r="D1945">
        <v>20255000001</v>
      </c>
      <c r="E1945" s="6">
        <v>1900</v>
      </c>
      <c r="G1945">
        <v>200</v>
      </c>
      <c r="I1945" t="str">
        <f>VLOOKUP(G1945,Kostenstellen!$A$1:$C$17,2,0)</f>
        <v>aqua</v>
      </c>
    </row>
    <row r="1946" spans="1:9" x14ac:dyDescent="0.2">
      <c r="A1946">
        <v>6830</v>
      </c>
      <c r="B1946" s="7">
        <v>45838</v>
      </c>
      <c r="C1946" t="s">
        <v>1918</v>
      </c>
      <c r="D1946">
        <v>20255000001</v>
      </c>
      <c r="E1946" s="6">
        <v>1900</v>
      </c>
      <c r="G1946">
        <v>200</v>
      </c>
      <c r="I1946" t="str">
        <f>VLOOKUP(G1946,Kostenstellen!$A$1:$C$17,2,0)</f>
        <v>aqua</v>
      </c>
    </row>
    <row r="1947" spans="1:9" x14ac:dyDescent="0.2">
      <c r="A1947">
        <v>6830</v>
      </c>
      <c r="B1947" s="7">
        <v>45869</v>
      </c>
      <c r="C1947" t="s">
        <v>1918</v>
      </c>
      <c r="D1947">
        <v>20255000001</v>
      </c>
      <c r="E1947" s="6">
        <v>1900</v>
      </c>
      <c r="G1947">
        <v>200</v>
      </c>
      <c r="I1947" t="str">
        <f>VLOOKUP(G1947,Kostenstellen!$A$1:$C$17,2,0)</f>
        <v>aqua</v>
      </c>
    </row>
    <row r="1948" spans="1:9" x14ac:dyDescent="0.2">
      <c r="A1948">
        <v>6830</v>
      </c>
      <c r="B1948" s="7">
        <v>45900</v>
      </c>
      <c r="C1948" t="s">
        <v>1918</v>
      </c>
      <c r="D1948">
        <v>20255000001</v>
      </c>
      <c r="E1948" s="6">
        <v>1900</v>
      </c>
      <c r="G1948">
        <v>200</v>
      </c>
      <c r="I1948" t="str">
        <f>VLOOKUP(G1948,Kostenstellen!$A$1:$C$17,2,0)</f>
        <v>aqua</v>
      </c>
    </row>
    <row r="1949" spans="1:9" x14ac:dyDescent="0.2">
      <c r="A1949">
        <v>6830</v>
      </c>
      <c r="B1949" s="7">
        <v>45930</v>
      </c>
      <c r="C1949" t="s">
        <v>1918</v>
      </c>
      <c r="D1949">
        <v>20255000001</v>
      </c>
      <c r="E1949" s="6">
        <v>1900</v>
      </c>
      <c r="G1949">
        <v>200</v>
      </c>
      <c r="I1949" t="str">
        <f>VLOOKUP(G1949,Kostenstellen!$A$1:$C$17,2,0)</f>
        <v>aqua</v>
      </c>
    </row>
    <row r="1950" spans="1:9" x14ac:dyDescent="0.2">
      <c r="A1950">
        <v>6830</v>
      </c>
      <c r="B1950" s="7">
        <v>45961</v>
      </c>
      <c r="C1950" t="s">
        <v>1918</v>
      </c>
      <c r="D1950">
        <v>20255000001</v>
      </c>
      <c r="E1950" s="6">
        <v>1900</v>
      </c>
      <c r="G1950">
        <v>200</v>
      </c>
      <c r="I1950" t="str">
        <f>VLOOKUP(G1950,Kostenstellen!$A$1:$C$17,2,0)</f>
        <v>aqua</v>
      </c>
    </row>
    <row r="1951" spans="1:9" x14ac:dyDescent="0.2">
      <c r="A1951">
        <v>6830</v>
      </c>
      <c r="B1951" s="7">
        <v>45991</v>
      </c>
      <c r="C1951" t="s">
        <v>1918</v>
      </c>
      <c r="D1951">
        <v>20255000001</v>
      </c>
      <c r="E1951" s="6">
        <v>1900</v>
      </c>
      <c r="G1951">
        <v>200</v>
      </c>
      <c r="I1951" t="str">
        <f>VLOOKUP(G1951,Kostenstellen!$A$1:$C$17,2,0)</f>
        <v>aqua</v>
      </c>
    </row>
    <row r="1952" spans="1:9" x14ac:dyDescent="0.2">
      <c r="A1952">
        <v>6830</v>
      </c>
      <c r="B1952" s="7">
        <v>46022</v>
      </c>
      <c r="C1952" t="s">
        <v>1918</v>
      </c>
      <c r="D1952">
        <v>20255000001</v>
      </c>
      <c r="E1952" s="6">
        <v>1900</v>
      </c>
      <c r="G1952">
        <v>200</v>
      </c>
      <c r="I1952" t="str">
        <f>VLOOKUP(G1952,Kostenstellen!$A$1:$C$17,2,0)</f>
        <v>aqua</v>
      </c>
    </row>
    <row r="1953" spans="1:9" x14ac:dyDescent="0.2">
      <c r="A1953">
        <v>6850</v>
      </c>
      <c r="B1953" s="7">
        <v>45688</v>
      </c>
      <c r="C1953" t="s">
        <v>1919</v>
      </c>
      <c r="D1953">
        <v>20255000001</v>
      </c>
      <c r="E1953">
        <v>100</v>
      </c>
      <c r="G1953">
        <v>200</v>
      </c>
      <c r="I1953" t="str">
        <f>VLOOKUP(G1953,Kostenstellen!$A$1:$C$17,2,0)</f>
        <v>aqua</v>
      </c>
    </row>
    <row r="1954" spans="1:9" x14ac:dyDescent="0.2">
      <c r="A1954">
        <v>6850</v>
      </c>
      <c r="B1954" s="7">
        <v>45716</v>
      </c>
      <c r="C1954" t="s">
        <v>1919</v>
      </c>
      <c r="D1954">
        <v>20255000001</v>
      </c>
      <c r="E1954">
        <v>100</v>
      </c>
      <c r="G1954">
        <v>200</v>
      </c>
      <c r="I1954" t="str">
        <f>VLOOKUP(G1954,Kostenstellen!$A$1:$C$17,2,0)</f>
        <v>aqua</v>
      </c>
    </row>
    <row r="1955" spans="1:9" x14ac:dyDescent="0.2">
      <c r="A1955">
        <v>6850</v>
      </c>
      <c r="B1955" s="7">
        <v>45747</v>
      </c>
      <c r="C1955" t="s">
        <v>1919</v>
      </c>
      <c r="D1955">
        <v>20255000001</v>
      </c>
      <c r="E1955">
        <v>100</v>
      </c>
      <c r="G1955">
        <v>200</v>
      </c>
      <c r="I1955" t="str">
        <f>VLOOKUP(G1955,Kostenstellen!$A$1:$C$17,2,0)</f>
        <v>aqua</v>
      </c>
    </row>
    <row r="1956" spans="1:9" x14ac:dyDescent="0.2">
      <c r="A1956">
        <v>6850</v>
      </c>
      <c r="B1956" s="7">
        <v>45777</v>
      </c>
      <c r="C1956" t="s">
        <v>1919</v>
      </c>
      <c r="D1956">
        <v>20255000001</v>
      </c>
      <c r="E1956">
        <v>100</v>
      </c>
      <c r="G1956">
        <v>200</v>
      </c>
      <c r="I1956" t="str">
        <f>VLOOKUP(G1956,Kostenstellen!$A$1:$C$17,2,0)</f>
        <v>aqua</v>
      </c>
    </row>
    <row r="1957" spans="1:9" x14ac:dyDescent="0.2">
      <c r="A1957">
        <v>6850</v>
      </c>
      <c r="B1957" s="7">
        <v>45808</v>
      </c>
      <c r="C1957" t="s">
        <v>1919</v>
      </c>
      <c r="D1957">
        <v>20255000001</v>
      </c>
      <c r="E1957">
        <v>100</v>
      </c>
      <c r="G1957">
        <v>200</v>
      </c>
      <c r="I1957" t="str">
        <f>VLOOKUP(G1957,Kostenstellen!$A$1:$C$17,2,0)</f>
        <v>aqua</v>
      </c>
    </row>
    <row r="1958" spans="1:9" x14ac:dyDescent="0.2">
      <c r="A1958">
        <v>6850</v>
      </c>
      <c r="B1958" s="7">
        <v>45838</v>
      </c>
      <c r="C1958" t="s">
        <v>1919</v>
      </c>
      <c r="D1958">
        <v>20255000001</v>
      </c>
      <c r="E1958">
        <v>100</v>
      </c>
      <c r="G1958">
        <v>200</v>
      </c>
      <c r="I1958" t="str">
        <f>VLOOKUP(G1958,Kostenstellen!$A$1:$C$17,2,0)</f>
        <v>aqua</v>
      </c>
    </row>
    <row r="1959" spans="1:9" x14ac:dyDescent="0.2">
      <c r="A1959">
        <v>6850</v>
      </c>
      <c r="B1959" s="7">
        <v>45869</v>
      </c>
      <c r="C1959" t="s">
        <v>1919</v>
      </c>
      <c r="D1959">
        <v>20255000001</v>
      </c>
      <c r="E1959">
        <v>100</v>
      </c>
      <c r="G1959">
        <v>200</v>
      </c>
      <c r="I1959" t="str">
        <f>VLOOKUP(G1959,Kostenstellen!$A$1:$C$17,2,0)</f>
        <v>aqua</v>
      </c>
    </row>
    <row r="1960" spans="1:9" x14ac:dyDescent="0.2">
      <c r="A1960">
        <v>6850</v>
      </c>
      <c r="B1960" s="7">
        <v>45900</v>
      </c>
      <c r="C1960" t="s">
        <v>1919</v>
      </c>
      <c r="D1960">
        <v>20255000001</v>
      </c>
      <c r="E1960">
        <v>100</v>
      </c>
      <c r="G1960">
        <v>200</v>
      </c>
      <c r="I1960" t="str">
        <f>VLOOKUP(G1960,Kostenstellen!$A$1:$C$17,2,0)</f>
        <v>aqua</v>
      </c>
    </row>
    <row r="1961" spans="1:9" x14ac:dyDescent="0.2">
      <c r="A1961">
        <v>6850</v>
      </c>
      <c r="B1961" s="7">
        <v>45930</v>
      </c>
      <c r="C1961" t="s">
        <v>1919</v>
      </c>
      <c r="D1961">
        <v>20255000001</v>
      </c>
      <c r="E1961">
        <v>100</v>
      </c>
      <c r="G1961">
        <v>200</v>
      </c>
      <c r="I1961" t="str">
        <f>VLOOKUP(G1961,Kostenstellen!$A$1:$C$17,2,0)</f>
        <v>aqua</v>
      </c>
    </row>
    <row r="1962" spans="1:9" x14ac:dyDescent="0.2">
      <c r="A1962">
        <v>6850</v>
      </c>
      <c r="B1962" s="7">
        <v>45961</v>
      </c>
      <c r="C1962" t="s">
        <v>1919</v>
      </c>
      <c r="D1962">
        <v>20255000001</v>
      </c>
      <c r="E1962">
        <v>100</v>
      </c>
      <c r="G1962">
        <v>200</v>
      </c>
      <c r="I1962" t="str">
        <f>VLOOKUP(G1962,Kostenstellen!$A$1:$C$17,2,0)</f>
        <v>aqua</v>
      </c>
    </row>
    <row r="1963" spans="1:9" x14ac:dyDescent="0.2">
      <c r="A1963">
        <v>6850</v>
      </c>
      <c r="B1963" s="7">
        <v>45991</v>
      </c>
      <c r="C1963" t="s">
        <v>1919</v>
      </c>
      <c r="D1963">
        <v>20255000001</v>
      </c>
      <c r="E1963">
        <v>100</v>
      </c>
      <c r="G1963">
        <v>200</v>
      </c>
      <c r="I1963" t="str">
        <f>VLOOKUP(G1963,Kostenstellen!$A$1:$C$17,2,0)</f>
        <v>aqua</v>
      </c>
    </row>
    <row r="1964" spans="1:9" x14ac:dyDescent="0.2">
      <c r="A1964">
        <v>6850</v>
      </c>
      <c r="B1964" s="7">
        <v>46022</v>
      </c>
      <c r="C1964" t="s">
        <v>1919</v>
      </c>
      <c r="D1964">
        <v>20255000001</v>
      </c>
      <c r="E1964">
        <v>100</v>
      </c>
      <c r="G1964">
        <v>200</v>
      </c>
      <c r="I1964" t="str">
        <f>VLOOKUP(G1964,Kostenstellen!$A$1:$C$17,2,0)</f>
        <v>aqua</v>
      </c>
    </row>
    <row r="1965" spans="1:9" x14ac:dyDescent="0.2">
      <c r="A1965">
        <v>6852</v>
      </c>
      <c r="B1965" s="7">
        <v>45663</v>
      </c>
      <c r="C1965" t="s">
        <v>1920</v>
      </c>
      <c r="D1965" t="s">
        <v>1921</v>
      </c>
      <c r="E1965">
        <v>299.33</v>
      </c>
      <c r="G1965">
        <v>202</v>
      </c>
      <c r="I1965" t="str">
        <f>VLOOKUP(G1965,Kostenstellen!$A$1:$C$17,2,0)</f>
        <v>Recruiting</v>
      </c>
    </row>
    <row r="1966" spans="1:9" x14ac:dyDescent="0.2">
      <c r="A1966">
        <v>6852</v>
      </c>
      <c r="B1966" s="7">
        <v>45674</v>
      </c>
      <c r="C1966" t="s">
        <v>1920</v>
      </c>
      <c r="D1966" t="s">
        <v>1922</v>
      </c>
      <c r="E1966">
        <v>119.32</v>
      </c>
      <c r="G1966">
        <v>202</v>
      </c>
      <c r="I1966" t="str">
        <f>VLOOKUP(G1966,Kostenstellen!$A$1:$C$17,2,0)</f>
        <v>Recruiting</v>
      </c>
    </row>
    <row r="1967" spans="1:9" x14ac:dyDescent="0.2">
      <c r="A1967">
        <v>6852</v>
      </c>
      <c r="B1967" s="7">
        <v>46010</v>
      </c>
      <c r="C1967" t="s">
        <v>1203</v>
      </c>
      <c r="D1967">
        <v>261479943</v>
      </c>
      <c r="E1967">
        <v>20.440000000000001</v>
      </c>
      <c r="G1967">
        <v>202</v>
      </c>
      <c r="H1967" s="7">
        <v>46009</v>
      </c>
      <c r="I1967" t="str">
        <f>VLOOKUP(G1967,Kostenstellen!$A$1:$C$17,2,0)</f>
        <v>Recruiting</v>
      </c>
    </row>
    <row r="1968" spans="1:9" x14ac:dyDescent="0.2">
      <c r="A1968">
        <v>6852</v>
      </c>
      <c r="B1968" s="7">
        <v>46013</v>
      </c>
      <c r="C1968" t="s">
        <v>1203</v>
      </c>
      <c r="D1968">
        <v>268</v>
      </c>
      <c r="E1968">
        <v>16.489999999999998</v>
      </c>
      <c r="G1968">
        <v>202</v>
      </c>
      <c r="H1968" s="7">
        <v>46010</v>
      </c>
      <c r="I1968" t="str">
        <f>VLOOKUP(G1968,Kostenstellen!$A$1:$C$17,2,0)</f>
        <v>Recruiting</v>
      </c>
    </row>
    <row r="1969" spans="1:9" x14ac:dyDescent="0.2">
      <c r="A1969">
        <v>6852</v>
      </c>
      <c r="B1969" s="7">
        <v>46013</v>
      </c>
      <c r="C1969" t="s">
        <v>1203</v>
      </c>
      <c r="D1969">
        <v>754</v>
      </c>
      <c r="E1969">
        <v>15.03</v>
      </c>
      <c r="G1969">
        <v>202</v>
      </c>
      <c r="H1969" s="7">
        <v>46010</v>
      </c>
      <c r="I1969" t="str">
        <f>VLOOKUP(G1969,Kostenstellen!$A$1:$C$17,2,0)</f>
        <v>Recruiting</v>
      </c>
    </row>
    <row r="1970" spans="1:9" x14ac:dyDescent="0.2">
      <c r="A1970">
        <v>6852</v>
      </c>
      <c r="B1970" s="7">
        <v>46013</v>
      </c>
      <c r="C1970" t="s">
        <v>1203</v>
      </c>
      <c r="D1970">
        <v>978</v>
      </c>
      <c r="E1970">
        <v>15.29</v>
      </c>
      <c r="G1970">
        <v>202</v>
      </c>
      <c r="H1970" s="7">
        <v>46010</v>
      </c>
      <c r="I1970" t="str">
        <f>VLOOKUP(G1970,Kostenstellen!$A$1:$C$17,2,0)</f>
        <v>Recruiting</v>
      </c>
    </row>
    <row r="1971" spans="1:9" x14ac:dyDescent="0.2">
      <c r="A1971">
        <v>6852</v>
      </c>
      <c r="B1971" s="7">
        <v>46013</v>
      </c>
      <c r="C1971" t="s">
        <v>1205</v>
      </c>
      <c r="D1971" t="s">
        <v>1206</v>
      </c>
      <c r="E1971">
        <v>22.21</v>
      </c>
      <c r="G1971">
        <v>202</v>
      </c>
      <c r="H1971" s="7">
        <v>46010</v>
      </c>
      <c r="I1971" t="str">
        <f>VLOOKUP(G1971,Kostenstellen!$A$1:$C$17,2,0)</f>
        <v>Recruiting</v>
      </c>
    </row>
    <row r="1972" spans="1:9" x14ac:dyDescent="0.2">
      <c r="A1972">
        <v>6852</v>
      </c>
      <c r="B1972" s="7">
        <v>46013</v>
      </c>
      <c r="C1972" t="s">
        <v>1923</v>
      </c>
      <c r="D1972" t="s">
        <v>1924</v>
      </c>
      <c r="E1972">
        <v>24.54</v>
      </c>
      <c r="G1972">
        <v>202</v>
      </c>
      <c r="H1972" s="7">
        <v>46010</v>
      </c>
      <c r="I1972" t="str">
        <f>VLOOKUP(G1972,Kostenstellen!$A$1:$C$17,2,0)</f>
        <v>Recruiting</v>
      </c>
    </row>
    <row r="1973" spans="1:9" x14ac:dyDescent="0.2">
      <c r="A1973">
        <v>6855</v>
      </c>
      <c r="B1973" s="7">
        <v>45659</v>
      </c>
      <c r="C1973" t="s">
        <v>1925</v>
      </c>
      <c r="D1973" t="s">
        <v>352</v>
      </c>
      <c r="E1973">
        <v>35.57</v>
      </c>
      <c r="G1973">
        <v>200</v>
      </c>
      <c r="I1973" t="str">
        <f>VLOOKUP(G1973,Kostenstellen!$A$1:$C$17,2,0)</f>
        <v>aqua</v>
      </c>
    </row>
    <row r="1974" spans="1:9" x14ac:dyDescent="0.2">
      <c r="A1974">
        <v>6855</v>
      </c>
      <c r="B1974" s="7">
        <v>45659</v>
      </c>
      <c r="C1974" t="s">
        <v>1926</v>
      </c>
      <c r="D1974" t="s">
        <v>1519</v>
      </c>
      <c r="E1974">
        <v>12.17</v>
      </c>
      <c r="G1974">
        <v>200</v>
      </c>
      <c r="I1974" t="str">
        <f>VLOOKUP(G1974,Kostenstellen!$A$1:$C$17,2,0)</f>
        <v>aqua</v>
      </c>
    </row>
    <row r="1975" spans="1:9" x14ac:dyDescent="0.2">
      <c r="A1975">
        <v>6855</v>
      </c>
      <c r="B1975" s="7">
        <v>45663</v>
      </c>
      <c r="C1975" t="s">
        <v>1927</v>
      </c>
      <c r="D1975" t="s">
        <v>352</v>
      </c>
      <c r="E1975">
        <v>36.549999999999997</v>
      </c>
      <c r="G1975">
        <v>200</v>
      </c>
      <c r="I1975" t="str">
        <f>VLOOKUP(G1975,Kostenstellen!$A$1:$C$17,2,0)</f>
        <v>aqua</v>
      </c>
    </row>
    <row r="1976" spans="1:9" x14ac:dyDescent="0.2">
      <c r="A1976">
        <v>6855</v>
      </c>
      <c r="B1976" s="7">
        <v>45663</v>
      </c>
      <c r="C1976" t="s">
        <v>1927</v>
      </c>
      <c r="D1976" t="s">
        <v>352</v>
      </c>
      <c r="E1976">
        <v>36.549999999999997</v>
      </c>
      <c r="G1976">
        <v>200</v>
      </c>
      <c r="I1976" t="str">
        <f>VLOOKUP(G1976,Kostenstellen!$A$1:$C$17,2,0)</f>
        <v>aqua</v>
      </c>
    </row>
    <row r="1977" spans="1:9" x14ac:dyDescent="0.2">
      <c r="A1977">
        <v>6855</v>
      </c>
      <c r="B1977" s="7">
        <v>45663</v>
      </c>
      <c r="C1977" t="s">
        <v>1927</v>
      </c>
      <c r="D1977" t="s">
        <v>352</v>
      </c>
      <c r="E1977">
        <v>36.549999999999997</v>
      </c>
      <c r="G1977">
        <v>200</v>
      </c>
      <c r="I1977" t="str">
        <f>VLOOKUP(G1977,Kostenstellen!$A$1:$C$17,2,0)</f>
        <v>aqua</v>
      </c>
    </row>
    <row r="1978" spans="1:9" x14ac:dyDescent="0.2">
      <c r="A1978">
        <v>6855</v>
      </c>
      <c r="B1978" s="7">
        <v>45663</v>
      </c>
      <c r="C1978" t="s">
        <v>1927</v>
      </c>
      <c r="D1978" t="s">
        <v>352</v>
      </c>
      <c r="E1978">
        <v>36.549999999999997</v>
      </c>
      <c r="G1978">
        <v>200</v>
      </c>
      <c r="I1978" t="str">
        <f>VLOOKUP(G1978,Kostenstellen!$A$1:$C$17,2,0)</f>
        <v>aqua</v>
      </c>
    </row>
    <row r="1979" spans="1:9" x14ac:dyDescent="0.2">
      <c r="A1979">
        <v>6855</v>
      </c>
      <c r="B1979" s="7">
        <v>45663</v>
      </c>
      <c r="C1979" t="s">
        <v>1927</v>
      </c>
      <c r="D1979" t="s">
        <v>352</v>
      </c>
      <c r="E1979">
        <v>36.549999999999997</v>
      </c>
      <c r="G1979">
        <v>200</v>
      </c>
      <c r="I1979" t="str">
        <f>VLOOKUP(G1979,Kostenstellen!$A$1:$C$17,2,0)</f>
        <v>aqua</v>
      </c>
    </row>
    <row r="1980" spans="1:9" x14ac:dyDescent="0.2">
      <c r="A1980">
        <v>6855</v>
      </c>
      <c r="B1980" s="7">
        <v>45663</v>
      </c>
      <c r="C1980" t="s">
        <v>1927</v>
      </c>
      <c r="D1980" t="s">
        <v>352</v>
      </c>
      <c r="E1980">
        <v>36.549999999999997</v>
      </c>
      <c r="G1980">
        <v>200</v>
      </c>
      <c r="I1980" t="str">
        <f>VLOOKUP(G1980,Kostenstellen!$A$1:$C$17,2,0)</f>
        <v>aqua</v>
      </c>
    </row>
    <row r="1981" spans="1:9" x14ac:dyDescent="0.2">
      <c r="A1981">
        <v>6855</v>
      </c>
      <c r="B1981" s="7">
        <v>45663</v>
      </c>
      <c r="C1981" t="s">
        <v>1927</v>
      </c>
      <c r="D1981" t="s">
        <v>352</v>
      </c>
      <c r="E1981">
        <v>36.549999999999997</v>
      </c>
      <c r="G1981">
        <v>200</v>
      </c>
      <c r="I1981" t="str">
        <f>VLOOKUP(G1981,Kostenstellen!$A$1:$C$17,2,0)</f>
        <v>aqua</v>
      </c>
    </row>
    <row r="1982" spans="1:9" x14ac:dyDescent="0.2">
      <c r="A1982">
        <v>6855</v>
      </c>
      <c r="B1982" s="7">
        <v>45663</v>
      </c>
      <c r="C1982" t="s">
        <v>1927</v>
      </c>
      <c r="D1982" t="s">
        <v>352</v>
      </c>
      <c r="E1982">
        <v>36.549999999999997</v>
      </c>
      <c r="G1982">
        <v>200</v>
      </c>
      <c r="I1982" t="str">
        <f>VLOOKUP(G1982,Kostenstellen!$A$1:$C$17,2,0)</f>
        <v>aqua</v>
      </c>
    </row>
    <row r="1983" spans="1:9" x14ac:dyDescent="0.2">
      <c r="A1983">
        <v>6855</v>
      </c>
      <c r="B1983" s="7">
        <v>45663</v>
      </c>
      <c r="C1983" t="s">
        <v>1927</v>
      </c>
      <c r="D1983" t="s">
        <v>352</v>
      </c>
      <c r="E1983">
        <v>36.549999999999997</v>
      </c>
      <c r="G1983">
        <v>200</v>
      </c>
      <c r="I1983" t="str">
        <f>VLOOKUP(G1983,Kostenstellen!$A$1:$C$17,2,0)</f>
        <v>aqua</v>
      </c>
    </row>
    <row r="1984" spans="1:9" x14ac:dyDescent="0.2">
      <c r="A1984">
        <v>6855</v>
      </c>
      <c r="B1984" s="7">
        <v>45663</v>
      </c>
      <c r="C1984" t="s">
        <v>1927</v>
      </c>
      <c r="D1984" t="s">
        <v>352</v>
      </c>
      <c r="E1984">
        <v>39.78</v>
      </c>
      <c r="G1984">
        <v>200</v>
      </c>
      <c r="I1984" t="str">
        <f>VLOOKUP(G1984,Kostenstellen!$A$1:$C$17,2,0)</f>
        <v>aqua</v>
      </c>
    </row>
    <row r="1985" spans="1:9" x14ac:dyDescent="0.2">
      <c r="A1985">
        <v>6855</v>
      </c>
      <c r="B1985" s="7">
        <v>45663</v>
      </c>
      <c r="C1985" t="s">
        <v>1928</v>
      </c>
      <c r="D1985">
        <v>2024400281</v>
      </c>
      <c r="E1985">
        <v>3.16</v>
      </c>
      <c r="G1985">
        <v>200</v>
      </c>
      <c r="I1985" t="str">
        <f>VLOOKUP(G1985,Kostenstellen!$A$1:$C$17,2,0)</f>
        <v>aqua</v>
      </c>
    </row>
    <row r="1986" spans="1:9" x14ac:dyDescent="0.2">
      <c r="A1986">
        <v>6855</v>
      </c>
      <c r="B1986" s="7">
        <v>45664</v>
      </c>
      <c r="C1986" t="s">
        <v>1929</v>
      </c>
      <c r="D1986">
        <v>2025400003</v>
      </c>
      <c r="E1986">
        <v>8</v>
      </c>
      <c r="G1986">
        <v>200</v>
      </c>
      <c r="I1986" t="str">
        <f>VLOOKUP(G1986,Kostenstellen!$A$1:$C$17,2,0)</f>
        <v>aqua</v>
      </c>
    </row>
    <row r="1987" spans="1:9" x14ac:dyDescent="0.2">
      <c r="A1987">
        <v>6855</v>
      </c>
      <c r="B1987" s="7">
        <v>45666</v>
      </c>
      <c r="C1987" t="s">
        <v>1927</v>
      </c>
      <c r="D1987" t="s">
        <v>352</v>
      </c>
      <c r="E1987">
        <v>36.549999999999997</v>
      </c>
      <c r="G1987">
        <v>200</v>
      </c>
      <c r="I1987" t="str">
        <f>VLOOKUP(G1987,Kostenstellen!$A$1:$C$17,2,0)</f>
        <v>aqua</v>
      </c>
    </row>
    <row r="1988" spans="1:9" x14ac:dyDescent="0.2">
      <c r="A1988">
        <v>6855</v>
      </c>
      <c r="B1988" s="7">
        <v>45670</v>
      </c>
      <c r="C1988" t="s">
        <v>1928</v>
      </c>
      <c r="D1988">
        <v>2025400002</v>
      </c>
      <c r="E1988">
        <v>11.68</v>
      </c>
      <c r="G1988">
        <v>200</v>
      </c>
      <c r="I1988" t="str">
        <f>VLOOKUP(G1988,Kostenstellen!$A$1:$C$17,2,0)</f>
        <v>aqua</v>
      </c>
    </row>
    <row r="1989" spans="1:9" x14ac:dyDescent="0.2">
      <c r="A1989">
        <v>6855</v>
      </c>
      <c r="B1989" s="7">
        <v>45677</v>
      </c>
      <c r="C1989" t="s">
        <v>1930</v>
      </c>
      <c r="D1989" t="s">
        <v>352</v>
      </c>
      <c r="E1989">
        <v>10</v>
      </c>
      <c r="G1989">
        <v>200</v>
      </c>
      <c r="I1989" t="str">
        <f>VLOOKUP(G1989,Kostenstellen!$A$1:$C$17,2,0)</f>
        <v>aqua</v>
      </c>
    </row>
    <row r="1990" spans="1:9" x14ac:dyDescent="0.2">
      <c r="A1990">
        <v>6855</v>
      </c>
      <c r="B1990" s="7">
        <v>45680</v>
      </c>
      <c r="C1990" t="s">
        <v>1927</v>
      </c>
      <c r="D1990" t="s">
        <v>352</v>
      </c>
      <c r="E1990">
        <v>36.549999999999997</v>
      </c>
      <c r="G1990">
        <v>200</v>
      </c>
      <c r="I1990" t="str">
        <f>VLOOKUP(G1990,Kostenstellen!$A$1:$C$17,2,0)</f>
        <v>aqua</v>
      </c>
    </row>
    <row r="1991" spans="1:9" x14ac:dyDescent="0.2">
      <c r="A1991">
        <v>6855</v>
      </c>
      <c r="B1991" s="7">
        <v>45684</v>
      </c>
      <c r="C1991" t="s">
        <v>1928</v>
      </c>
      <c r="D1991">
        <v>2025400024</v>
      </c>
      <c r="E1991">
        <v>10.85</v>
      </c>
      <c r="G1991">
        <v>200</v>
      </c>
      <c r="I1991" t="str">
        <f>VLOOKUP(G1991,Kostenstellen!$A$1:$C$17,2,0)</f>
        <v>aqua</v>
      </c>
    </row>
    <row r="1992" spans="1:9" x14ac:dyDescent="0.2">
      <c r="A1992">
        <v>6855</v>
      </c>
      <c r="B1992" s="7">
        <v>45688</v>
      </c>
      <c r="C1992" t="s">
        <v>1931</v>
      </c>
      <c r="D1992" t="s">
        <v>352</v>
      </c>
      <c r="E1992">
        <v>12.55</v>
      </c>
      <c r="G1992">
        <v>200</v>
      </c>
      <c r="I1992" t="str">
        <f>VLOOKUP(G1992,Kostenstellen!$A$1:$C$17,2,0)</f>
        <v>aqua</v>
      </c>
    </row>
    <row r="1993" spans="1:9" x14ac:dyDescent="0.2">
      <c r="A1993">
        <v>6855</v>
      </c>
      <c r="B1993" s="7">
        <v>45688</v>
      </c>
      <c r="C1993" t="s">
        <v>1932</v>
      </c>
      <c r="D1993" t="s">
        <v>352</v>
      </c>
      <c r="F1993">
        <v>24.47</v>
      </c>
      <c r="G1993">
        <v>200</v>
      </c>
      <c r="I1993" t="str">
        <f>VLOOKUP(G1993,Kostenstellen!$A$1:$C$17,2,0)</f>
        <v>aqua</v>
      </c>
    </row>
    <row r="1994" spans="1:9" x14ac:dyDescent="0.2">
      <c r="A1994">
        <v>6855</v>
      </c>
      <c r="B1994" s="7">
        <v>45688</v>
      </c>
      <c r="C1994" t="s">
        <v>1933</v>
      </c>
      <c r="D1994">
        <v>1</v>
      </c>
      <c r="E1994">
        <v>153</v>
      </c>
      <c r="G1994">
        <v>200</v>
      </c>
      <c r="I1994" t="str">
        <f>VLOOKUP(G1994,Kostenstellen!$A$1:$C$17,2,0)</f>
        <v>aqua</v>
      </c>
    </row>
    <row r="1995" spans="1:9" x14ac:dyDescent="0.2">
      <c r="A1995">
        <v>6855</v>
      </c>
      <c r="B1995" s="7">
        <v>45691</v>
      </c>
      <c r="C1995" t="s">
        <v>1930</v>
      </c>
      <c r="D1995" t="s">
        <v>352</v>
      </c>
      <c r="E1995">
        <v>28.5</v>
      </c>
      <c r="G1995">
        <v>200</v>
      </c>
      <c r="I1995" t="str">
        <f>VLOOKUP(G1995,Kostenstellen!$A$1:$C$17,2,0)</f>
        <v>aqua</v>
      </c>
    </row>
    <row r="1996" spans="1:9" x14ac:dyDescent="0.2">
      <c r="A1996">
        <v>6855</v>
      </c>
      <c r="B1996" s="7">
        <v>45691</v>
      </c>
      <c r="C1996" t="s">
        <v>1926</v>
      </c>
      <c r="D1996" t="s">
        <v>352</v>
      </c>
      <c r="E1996">
        <v>34.17</v>
      </c>
      <c r="G1996">
        <v>200</v>
      </c>
      <c r="I1996" t="str">
        <f>VLOOKUP(G1996,Kostenstellen!$A$1:$C$17,2,0)</f>
        <v>aqua</v>
      </c>
    </row>
    <row r="1997" spans="1:9" x14ac:dyDescent="0.2">
      <c r="A1997">
        <v>6855</v>
      </c>
      <c r="B1997" s="7">
        <v>45691</v>
      </c>
      <c r="C1997" t="s">
        <v>1933</v>
      </c>
      <c r="D1997">
        <v>2</v>
      </c>
      <c r="E1997">
        <v>44</v>
      </c>
      <c r="G1997">
        <v>200</v>
      </c>
      <c r="I1997" t="str">
        <f>VLOOKUP(G1997,Kostenstellen!$A$1:$C$17,2,0)</f>
        <v>aqua</v>
      </c>
    </row>
    <row r="1998" spans="1:9" x14ac:dyDescent="0.2">
      <c r="A1998">
        <v>6855</v>
      </c>
      <c r="B1998" s="7">
        <v>45692</v>
      </c>
      <c r="C1998" t="s">
        <v>1934</v>
      </c>
      <c r="D1998" t="s">
        <v>352</v>
      </c>
      <c r="E1998">
        <v>36.549999999999997</v>
      </c>
      <c r="G1998">
        <v>200</v>
      </c>
      <c r="I1998" t="str">
        <f>VLOOKUP(G1998,Kostenstellen!$A$1:$C$17,2,0)</f>
        <v>aqua</v>
      </c>
    </row>
    <row r="1999" spans="1:9" x14ac:dyDescent="0.2">
      <c r="A1999">
        <v>6855</v>
      </c>
      <c r="B1999" s="7">
        <v>45692</v>
      </c>
      <c r="C1999" t="s">
        <v>1934</v>
      </c>
      <c r="D1999" t="s">
        <v>352</v>
      </c>
      <c r="E1999">
        <v>36.549999999999997</v>
      </c>
      <c r="G1999">
        <v>200</v>
      </c>
      <c r="I1999" t="str">
        <f>VLOOKUP(G1999,Kostenstellen!$A$1:$C$17,2,0)</f>
        <v>aqua</v>
      </c>
    </row>
    <row r="2000" spans="1:9" x14ac:dyDescent="0.2">
      <c r="A2000">
        <v>6855</v>
      </c>
      <c r="B2000" s="7">
        <v>45692</v>
      </c>
      <c r="C2000" t="s">
        <v>1934</v>
      </c>
      <c r="D2000" t="s">
        <v>352</v>
      </c>
      <c r="E2000">
        <v>36.549999999999997</v>
      </c>
      <c r="G2000">
        <v>200</v>
      </c>
      <c r="I2000" t="str">
        <f>VLOOKUP(G2000,Kostenstellen!$A$1:$C$17,2,0)</f>
        <v>aqua</v>
      </c>
    </row>
    <row r="2001" spans="1:9" x14ac:dyDescent="0.2">
      <c r="A2001">
        <v>6855</v>
      </c>
      <c r="B2001" s="7">
        <v>45692</v>
      </c>
      <c r="C2001" t="s">
        <v>1934</v>
      </c>
      <c r="D2001" t="s">
        <v>352</v>
      </c>
      <c r="E2001">
        <v>36.549999999999997</v>
      </c>
      <c r="G2001">
        <v>200</v>
      </c>
      <c r="I2001" t="str">
        <f>VLOOKUP(G2001,Kostenstellen!$A$1:$C$17,2,0)</f>
        <v>aqua</v>
      </c>
    </row>
    <row r="2002" spans="1:9" x14ac:dyDescent="0.2">
      <c r="A2002">
        <v>6855</v>
      </c>
      <c r="B2002" s="7">
        <v>45692</v>
      </c>
      <c r="C2002" t="s">
        <v>1934</v>
      </c>
      <c r="D2002" t="s">
        <v>352</v>
      </c>
      <c r="E2002">
        <v>36.549999999999997</v>
      </c>
      <c r="G2002">
        <v>200</v>
      </c>
      <c r="I2002" t="str">
        <f>VLOOKUP(G2002,Kostenstellen!$A$1:$C$17,2,0)</f>
        <v>aqua</v>
      </c>
    </row>
    <row r="2003" spans="1:9" x14ac:dyDescent="0.2">
      <c r="A2003">
        <v>6855</v>
      </c>
      <c r="B2003" s="7">
        <v>45692</v>
      </c>
      <c r="C2003" t="s">
        <v>1934</v>
      </c>
      <c r="D2003" t="s">
        <v>352</v>
      </c>
      <c r="E2003">
        <v>36.549999999999997</v>
      </c>
      <c r="G2003">
        <v>200</v>
      </c>
      <c r="I2003" t="str">
        <f>VLOOKUP(G2003,Kostenstellen!$A$1:$C$17,2,0)</f>
        <v>aqua</v>
      </c>
    </row>
    <row r="2004" spans="1:9" x14ac:dyDescent="0.2">
      <c r="A2004">
        <v>6855</v>
      </c>
      <c r="B2004" s="7">
        <v>45692</v>
      </c>
      <c r="C2004" t="s">
        <v>1934</v>
      </c>
      <c r="D2004" t="s">
        <v>352</v>
      </c>
      <c r="E2004">
        <v>36.549999999999997</v>
      </c>
      <c r="G2004">
        <v>200</v>
      </c>
      <c r="I2004" t="str">
        <f>VLOOKUP(G2004,Kostenstellen!$A$1:$C$17,2,0)</f>
        <v>aqua</v>
      </c>
    </row>
    <row r="2005" spans="1:9" x14ac:dyDescent="0.2">
      <c r="A2005">
        <v>6855</v>
      </c>
      <c r="B2005" s="7">
        <v>45692</v>
      </c>
      <c r="C2005" t="s">
        <v>1934</v>
      </c>
      <c r="D2005" t="s">
        <v>352</v>
      </c>
      <c r="E2005">
        <v>36.549999999999997</v>
      </c>
      <c r="G2005">
        <v>200</v>
      </c>
      <c r="I2005" t="str">
        <f>VLOOKUP(G2005,Kostenstellen!$A$1:$C$17,2,0)</f>
        <v>aqua</v>
      </c>
    </row>
    <row r="2006" spans="1:9" x14ac:dyDescent="0.2">
      <c r="A2006">
        <v>6855</v>
      </c>
      <c r="B2006" s="7">
        <v>45692</v>
      </c>
      <c r="C2006" t="s">
        <v>1934</v>
      </c>
      <c r="D2006" t="s">
        <v>352</v>
      </c>
      <c r="E2006">
        <v>36.549999999999997</v>
      </c>
      <c r="G2006">
        <v>200</v>
      </c>
      <c r="I2006" t="str">
        <f>VLOOKUP(G2006,Kostenstellen!$A$1:$C$17,2,0)</f>
        <v>aqua</v>
      </c>
    </row>
    <row r="2007" spans="1:9" x14ac:dyDescent="0.2">
      <c r="A2007">
        <v>6855</v>
      </c>
      <c r="B2007" s="7">
        <v>45692</v>
      </c>
      <c r="C2007" t="s">
        <v>1934</v>
      </c>
      <c r="D2007" t="s">
        <v>352</v>
      </c>
      <c r="E2007">
        <v>36.549999999999997</v>
      </c>
      <c r="G2007">
        <v>200</v>
      </c>
      <c r="I2007" t="str">
        <f>VLOOKUP(G2007,Kostenstellen!$A$1:$C$17,2,0)</f>
        <v>aqua</v>
      </c>
    </row>
    <row r="2008" spans="1:9" x14ac:dyDescent="0.2">
      <c r="A2008">
        <v>6855</v>
      </c>
      <c r="B2008" s="7">
        <v>45692</v>
      </c>
      <c r="C2008" t="s">
        <v>1934</v>
      </c>
      <c r="D2008" t="s">
        <v>352</v>
      </c>
      <c r="E2008">
        <v>36.549999999999997</v>
      </c>
      <c r="G2008">
        <v>200</v>
      </c>
      <c r="I2008" t="str">
        <f>VLOOKUP(G2008,Kostenstellen!$A$1:$C$17,2,0)</f>
        <v>aqua</v>
      </c>
    </row>
    <row r="2009" spans="1:9" x14ac:dyDescent="0.2">
      <c r="A2009">
        <v>6855</v>
      </c>
      <c r="B2009" s="7">
        <v>45692</v>
      </c>
      <c r="C2009" t="s">
        <v>1934</v>
      </c>
      <c r="D2009" t="s">
        <v>352</v>
      </c>
      <c r="E2009">
        <v>36.549999999999997</v>
      </c>
      <c r="G2009">
        <v>200</v>
      </c>
      <c r="I2009" t="str">
        <f>VLOOKUP(G2009,Kostenstellen!$A$1:$C$17,2,0)</f>
        <v>aqua</v>
      </c>
    </row>
    <row r="2010" spans="1:9" x14ac:dyDescent="0.2">
      <c r="A2010">
        <v>6855</v>
      </c>
      <c r="B2010" s="7">
        <v>45692</v>
      </c>
      <c r="C2010" t="s">
        <v>1934</v>
      </c>
      <c r="D2010" t="s">
        <v>352</v>
      </c>
      <c r="E2010">
        <v>36.549999999999997</v>
      </c>
      <c r="G2010">
        <v>200</v>
      </c>
      <c r="I2010" t="str">
        <f>VLOOKUP(G2010,Kostenstellen!$A$1:$C$17,2,0)</f>
        <v>aqua</v>
      </c>
    </row>
    <row r="2011" spans="1:9" x14ac:dyDescent="0.2">
      <c r="A2011">
        <v>6855</v>
      </c>
      <c r="B2011" s="7">
        <v>45692</v>
      </c>
      <c r="C2011" t="s">
        <v>1934</v>
      </c>
      <c r="D2011" t="s">
        <v>352</v>
      </c>
      <c r="E2011">
        <v>36.549999999999997</v>
      </c>
      <c r="G2011">
        <v>200</v>
      </c>
      <c r="I2011" t="str">
        <f>VLOOKUP(G2011,Kostenstellen!$A$1:$C$17,2,0)</f>
        <v>aqua</v>
      </c>
    </row>
    <row r="2012" spans="1:9" x14ac:dyDescent="0.2">
      <c r="A2012">
        <v>6855</v>
      </c>
      <c r="B2012" s="7">
        <v>45692</v>
      </c>
      <c r="C2012" t="s">
        <v>1934</v>
      </c>
      <c r="D2012" t="s">
        <v>352</v>
      </c>
      <c r="E2012">
        <v>39.479999999999997</v>
      </c>
      <c r="G2012">
        <v>200</v>
      </c>
      <c r="I2012" t="str">
        <f>VLOOKUP(G2012,Kostenstellen!$A$1:$C$17,2,0)</f>
        <v>aqua</v>
      </c>
    </row>
    <row r="2013" spans="1:9" x14ac:dyDescent="0.2">
      <c r="A2013">
        <v>6855</v>
      </c>
      <c r="B2013" s="7">
        <v>45694</v>
      </c>
      <c r="C2013" t="s">
        <v>1934</v>
      </c>
      <c r="D2013" t="s">
        <v>352</v>
      </c>
      <c r="E2013">
        <v>10</v>
      </c>
      <c r="G2013">
        <v>200</v>
      </c>
      <c r="I2013" t="str">
        <f>VLOOKUP(G2013,Kostenstellen!$A$1:$C$17,2,0)</f>
        <v>aqua</v>
      </c>
    </row>
    <row r="2014" spans="1:9" x14ac:dyDescent="0.2">
      <c r="A2014">
        <v>6855</v>
      </c>
      <c r="B2014" s="7">
        <v>45694</v>
      </c>
      <c r="C2014" t="s">
        <v>1935</v>
      </c>
      <c r="D2014" t="s">
        <v>352</v>
      </c>
      <c r="E2014">
        <v>30</v>
      </c>
      <c r="G2014">
        <v>200</v>
      </c>
      <c r="I2014" t="str">
        <f>VLOOKUP(G2014,Kostenstellen!$A$1:$C$17,2,0)</f>
        <v>aqua</v>
      </c>
    </row>
    <row r="2015" spans="1:9" x14ac:dyDescent="0.2">
      <c r="A2015">
        <v>6855</v>
      </c>
      <c r="B2015" s="7">
        <v>45698</v>
      </c>
      <c r="C2015" t="s">
        <v>1928</v>
      </c>
      <c r="D2015">
        <v>2025400028</v>
      </c>
      <c r="E2015">
        <v>12.29</v>
      </c>
      <c r="G2015">
        <v>200</v>
      </c>
      <c r="I2015" t="str">
        <f>VLOOKUP(G2015,Kostenstellen!$A$1:$C$17,2,0)</f>
        <v>aqua</v>
      </c>
    </row>
    <row r="2016" spans="1:9" x14ac:dyDescent="0.2">
      <c r="A2016">
        <v>6855</v>
      </c>
      <c r="B2016" s="7">
        <v>45700</v>
      </c>
      <c r="D2016" t="s">
        <v>352</v>
      </c>
      <c r="E2016">
        <v>36.549999999999997</v>
      </c>
      <c r="G2016">
        <v>200</v>
      </c>
      <c r="I2016" t="str">
        <f>VLOOKUP(G2016,Kostenstellen!$A$1:$C$17,2,0)</f>
        <v>aqua</v>
      </c>
    </row>
    <row r="2017" spans="1:9" x14ac:dyDescent="0.2">
      <c r="A2017">
        <v>6855</v>
      </c>
      <c r="B2017" s="7">
        <v>45707</v>
      </c>
      <c r="C2017" t="s">
        <v>1930</v>
      </c>
      <c r="D2017" t="s">
        <v>352</v>
      </c>
      <c r="E2017">
        <v>10</v>
      </c>
      <c r="G2017">
        <v>200</v>
      </c>
      <c r="I2017" t="str">
        <f>VLOOKUP(G2017,Kostenstellen!$A$1:$C$17,2,0)</f>
        <v>aqua</v>
      </c>
    </row>
    <row r="2018" spans="1:9" x14ac:dyDescent="0.2">
      <c r="A2018">
        <v>6855</v>
      </c>
      <c r="B2018" s="7">
        <v>45708</v>
      </c>
      <c r="C2018" t="s">
        <v>1934</v>
      </c>
      <c r="D2018" t="s">
        <v>352</v>
      </c>
      <c r="E2018">
        <v>36.549999999999997</v>
      </c>
      <c r="G2018">
        <v>200</v>
      </c>
      <c r="I2018" t="str">
        <f>VLOOKUP(G2018,Kostenstellen!$A$1:$C$17,2,0)</f>
        <v>aqua</v>
      </c>
    </row>
    <row r="2019" spans="1:9" x14ac:dyDescent="0.2">
      <c r="A2019">
        <v>6855</v>
      </c>
      <c r="B2019" s="7">
        <v>45712</v>
      </c>
      <c r="C2019" t="s">
        <v>1928</v>
      </c>
      <c r="D2019">
        <v>2025400045</v>
      </c>
      <c r="E2019">
        <v>71.47</v>
      </c>
      <c r="G2019">
        <v>200</v>
      </c>
      <c r="I2019" t="str">
        <f>VLOOKUP(G2019,Kostenstellen!$A$1:$C$17,2,0)</f>
        <v>aqua</v>
      </c>
    </row>
    <row r="2020" spans="1:9" x14ac:dyDescent="0.2">
      <c r="A2020">
        <v>6855</v>
      </c>
      <c r="B2020" s="7">
        <v>45716</v>
      </c>
      <c r="C2020" t="s">
        <v>1931</v>
      </c>
      <c r="D2020" t="s">
        <v>352</v>
      </c>
      <c r="E2020">
        <v>15.23</v>
      </c>
      <c r="G2020">
        <v>200</v>
      </c>
      <c r="I2020" t="str">
        <f>VLOOKUP(G2020,Kostenstellen!$A$1:$C$17,2,0)</f>
        <v>aqua</v>
      </c>
    </row>
    <row r="2021" spans="1:9" x14ac:dyDescent="0.2">
      <c r="A2021">
        <v>6855</v>
      </c>
      <c r="B2021" s="7">
        <v>45716</v>
      </c>
      <c r="C2021" t="s">
        <v>1933</v>
      </c>
      <c r="D2021">
        <v>2</v>
      </c>
      <c r="E2021">
        <v>153</v>
      </c>
      <c r="G2021">
        <v>200</v>
      </c>
      <c r="I2021" t="str">
        <f>VLOOKUP(G2021,Kostenstellen!$A$1:$C$17,2,0)</f>
        <v>aqua</v>
      </c>
    </row>
    <row r="2022" spans="1:9" x14ac:dyDescent="0.2">
      <c r="A2022">
        <v>6855</v>
      </c>
      <c r="B2022" s="7">
        <v>45719</v>
      </c>
      <c r="C2022" t="s">
        <v>1933</v>
      </c>
      <c r="D2022" t="s">
        <v>352</v>
      </c>
      <c r="E2022">
        <v>28.45</v>
      </c>
      <c r="G2022">
        <v>200</v>
      </c>
      <c r="I2022" t="str">
        <f>VLOOKUP(G2022,Kostenstellen!$A$1:$C$17,2,0)</f>
        <v>aqua</v>
      </c>
    </row>
    <row r="2023" spans="1:9" x14ac:dyDescent="0.2">
      <c r="A2023">
        <v>6855</v>
      </c>
      <c r="B2023" s="7">
        <v>45719</v>
      </c>
      <c r="C2023" t="s">
        <v>1925</v>
      </c>
      <c r="D2023" t="s">
        <v>352</v>
      </c>
      <c r="E2023">
        <v>35.770000000000003</v>
      </c>
      <c r="G2023">
        <v>200</v>
      </c>
      <c r="I2023" t="str">
        <f>VLOOKUP(G2023,Kostenstellen!$A$1:$C$17,2,0)</f>
        <v>aqua</v>
      </c>
    </row>
    <row r="2024" spans="1:9" x14ac:dyDescent="0.2">
      <c r="A2024">
        <v>6855</v>
      </c>
      <c r="B2024" s="7">
        <v>45719</v>
      </c>
      <c r="C2024" t="s">
        <v>1936</v>
      </c>
      <c r="D2024">
        <v>3</v>
      </c>
      <c r="E2024">
        <v>44</v>
      </c>
      <c r="G2024">
        <v>200</v>
      </c>
      <c r="I2024" t="str">
        <f>VLOOKUP(G2024,Kostenstellen!$A$1:$C$17,2,0)</f>
        <v>aqua</v>
      </c>
    </row>
    <row r="2025" spans="1:9" x14ac:dyDescent="0.2">
      <c r="A2025">
        <v>6855</v>
      </c>
      <c r="B2025" s="7">
        <v>45719</v>
      </c>
      <c r="C2025" t="s">
        <v>1928</v>
      </c>
      <c r="D2025">
        <v>2025400047</v>
      </c>
      <c r="E2025">
        <v>3.2</v>
      </c>
      <c r="G2025">
        <v>200</v>
      </c>
      <c r="I2025" t="str">
        <f>VLOOKUP(G2025,Kostenstellen!$A$1:$C$17,2,0)</f>
        <v>aqua</v>
      </c>
    </row>
    <row r="2026" spans="1:9" x14ac:dyDescent="0.2">
      <c r="A2026">
        <v>6855</v>
      </c>
      <c r="B2026" s="7">
        <v>45720</v>
      </c>
      <c r="C2026" t="s">
        <v>1934</v>
      </c>
      <c r="D2026" t="s">
        <v>352</v>
      </c>
      <c r="E2026">
        <v>36.549999999999997</v>
      </c>
      <c r="G2026">
        <v>200</v>
      </c>
      <c r="I2026" t="str">
        <f>VLOOKUP(G2026,Kostenstellen!$A$1:$C$17,2,0)</f>
        <v>aqua</v>
      </c>
    </row>
    <row r="2027" spans="1:9" x14ac:dyDescent="0.2">
      <c r="A2027">
        <v>6855</v>
      </c>
      <c r="B2027" s="7">
        <v>45720</v>
      </c>
      <c r="C2027" t="s">
        <v>1934</v>
      </c>
      <c r="D2027" t="s">
        <v>352</v>
      </c>
      <c r="E2027">
        <v>36.549999999999997</v>
      </c>
      <c r="G2027">
        <v>200</v>
      </c>
      <c r="I2027" t="str">
        <f>VLOOKUP(G2027,Kostenstellen!$A$1:$C$17,2,0)</f>
        <v>aqua</v>
      </c>
    </row>
    <row r="2028" spans="1:9" x14ac:dyDescent="0.2">
      <c r="A2028">
        <v>6855</v>
      </c>
      <c r="B2028" s="7">
        <v>45720</v>
      </c>
      <c r="C2028" t="s">
        <v>1927</v>
      </c>
      <c r="D2028" t="s">
        <v>352</v>
      </c>
      <c r="E2028">
        <v>36.549999999999997</v>
      </c>
      <c r="G2028">
        <v>200</v>
      </c>
      <c r="I2028" t="str">
        <f>VLOOKUP(G2028,Kostenstellen!$A$1:$C$17,2,0)</f>
        <v>aqua</v>
      </c>
    </row>
    <row r="2029" spans="1:9" x14ac:dyDescent="0.2">
      <c r="A2029">
        <v>6855</v>
      </c>
      <c r="B2029" s="7">
        <v>45720</v>
      </c>
      <c r="C2029" t="s">
        <v>1927</v>
      </c>
      <c r="D2029" t="s">
        <v>352</v>
      </c>
      <c r="E2029">
        <v>36.549999999999997</v>
      </c>
      <c r="G2029">
        <v>200</v>
      </c>
      <c r="I2029" t="str">
        <f>VLOOKUP(G2029,Kostenstellen!$A$1:$C$17,2,0)</f>
        <v>aqua</v>
      </c>
    </row>
    <row r="2030" spans="1:9" x14ac:dyDescent="0.2">
      <c r="A2030">
        <v>6855</v>
      </c>
      <c r="B2030" s="7">
        <v>45720</v>
      </c>
      <c r="C2030" t="s">
        <v>1927</v>
      </c>
      <c r="D2030" t="s">
        <v>352</v>
      </c>
      <c r="E2030">
        <v>36.549999999999997</v>
      </c>
      <c r="G2030">
        <v>200</v>
      </c>
      <c r="I2030" t="str">
        <f>VLOOKUP(G2030,Kostenstellen!$A$1:$C$17,2,0)</f>
        <v>aqua</v>
      </c>
    </row>
    <row r="2031" spans="1:9" x14ac:dyDescent="0.2">
      <c r="A2031">
        <v>6855</v>
      </c>
      <c r="B2031" s="7">
        <v>45720</v>
      </c>
      <c r="C2031" t="s">
        <v>1927</v>
      </c>
      <c r="D2031" t="s">
        <v>352</v>
      </c>
      <c r="E2031">
        <v>36.549999999999997</v>
      </c>
      <c r="G2031">
        <v>200</v>
      </c>
      <c r="I2031" t="str">
        <f>VLOOKUP(G2031,Kostenstellen!$A$1:$C$17,2,0)</f>
        <v>aqua</v>
      </c>
    </row>
    <row r="2032" spans="1:9" x14ac:dyDescent="0.2">
      <c r="A2032">
        <v>6855</v>
      </c>
      <c r="B2032" s="7">
        <v>45720</v>
      </c>
      <c r="C2032" t="s">
        <v>1927</v>
      </c>
      <c r="D2032" t="s">
        <v>352</v>
      </c>
      <c r="E2032">
        <v>36.549999999999997</v>
      </c>
      <c r="G2032">
        <v>200</v>
      </c>
      <c r="I2032" t="str">
        <f>VLOOKUP(G2032,Kostenstellen!$A$1:$C$17,2,0)</f>
        <v>aqua</v>
      </c>
    </row>
    <row r="2033" spans="1:9" x14ac:dyDescent="0.2">
      <c r="A2033">
        <v>6855</v>
      </c>
      <c r="B2033" s="7">
        <v>45720</v>
      </c>
      <c r="C2033" t="s">
        <v>1927</v>
      </c>
      <c r="D2033" t="s">
        <v>352</v>
      </c>
      <c r="E2033">
        <v>36.549999999999997</v>
      </c>
      <c r="G2033">
        <v>200</v>
      </c>
      <c r="I2033" t="str">
        <f>VLOOKUP(G2033,Kostenstellen!$A$1:$C$17,2,0)</f>
        <v>aqua</v>
      </c>
    </row>
    <row r="2034" spans="1:9" x14ac:dyDescent="0.2">
      <c r="A2034">
        <v>6855</v>
      </c>
      <c r="B2034" s="7">
        <v>45720</v>
      </c>
      <c r="C2034" t="s">
        <v>1927</v>
      </c>
      <c r="D2034" t="s">
        <v>352</v>
      </c>
      <c r="E2034">
        <v>36.549999999999997</v>
      </c>
      <c r="G2034">
        <v>200</v>
      </c>
      <c r="I2034" t="str">
        <f>VLOOKUP(G2034,Kostenstellen!$A$1:$C$17,2,0)</f>
        <v>aqua</v>
      </c>
    </row>
    <row r="2035" spans="1:9" x14ac:dyDescent="0.2">
      <c r="A2035">
        <v>6855</v>
      </c>
      <c r="B2035" s="7">
        <v>45720</v>
      </c>
      <c r="C2035" t="s">
        <v>1927</v>
      </c>
      <c r="D2035" t="s">
        <v>352</v>
      </c>
      <c r="E2035">
        <v>36.549999999999997</v>
      </c>
      <c r="G2035">
        <v>200</v>
      </c>
      <c r="I2035" t="str">
        <f>VLOOKUP(G2035,Kostenstellen!$A$1:$C$17,2,0)</f>
        <v>aqua</v>
      </c>
    </row>
    <row r="2036" spans="1:9" x14ac:dyDescent="0.2">
      <c r="A2036">
        <v>6855</v>
      </c>
      <c r="B2036" s="7">
        <v>45720</v>
      </c>
      <c r="C2036" t="s">
        <v>1927</v>
      </c>
      <c r="D2036" t="s">
        <v>352</v>
      </c>
      <c r="E2036">
        <v>39.44</v>
      </c>
      <c r="G2036">
        <v>200</v>
      </c>
      <c r="I2036" t="str">
        <f>VLOOKUP(G2036,Kostenstellen!$A$1:$C$17,2,0)</f>
        <v>aqua</v>
      </c>
    </row>
    <row r="2037" spans="1:9" x14ac:dyDescent="0.2">
      <c r="A2037">
        <v>6855</v>
      </c>
      <c r="B2037" s="7">
        <v>45720</v>
      </c>
      <c r="C2037" t="s">
        <v>1937</v>
      </c>
      <c r="D2037" t="s">
        <v>352</v>
      </c>
      <c r="E2037">
        <v>0.11</v>
      </c>
      <c r="G2037">
        <v>200</v>
      </c>
      <c r="I2037" t="str">
        <f>VLOOKUP(G2037,Kostenstellen!$A$1:$C$17,2,0)</f>
        <v>aqua</v>
      </c>
    </row>
    <row r="2038" spans="1:9" x14ac:dyDescent="0.2">
      <c r="A2038">
        <v>6855</v>
      </c>
      <c r="B2038" s="7">
        <v>45726</v>
      </c>
      <c r="C2038" t="s">
        <v>1927</v>
      </c>
      <c r="D2038" t="s">
        <v>352</v>
      </c>
      <c r="E2038">
        <v>30</v>
      </c>
      <c r="G2038">
        <v>200</v>
      </c>
      <c r="I2038" t="str">
        <f>VLOOKUP(G2038,Kostenstellen!$A$1:$C$17,2,0)</f>
        <v>aqua</v>
      </c>
    </row>
    <row r="2039" spans="1:9" x14ac:dyDescent="0.2">
      <c r="A2039">
        <v>6855</v>
      </c>
      <c r="B2039" s="7">
        <v>45726</v>
      </c>
      <c r="C2039" t="s">
        <v>1928</v>
      </c>
      <c r="D2039">
        <v>2025400050</v>
      </c>
      <c r="E2039">
        <v>18.47</v>
      </c>
      <c r="G2039">
        <v>200</v>
      </c>
      <c r="I2039" t="str">
        <f>VLOOKUP(G2039,Kostenstellen!$A$1:$C$17,2,0)</f>
        <v>aqua</v>
      </c>
    </row>
    <row r="2040" spans="1:9" x14ac:dyDescent="0.2">
      <c r="A2040">
        <v>6855</v>
      </c>
      <c r="B2040" s="7">
        <v>45729</v>
      </c>
      <c r="C2040" t="s">
        <v>1927</v>
      </c>
      <c r="D2040" t="s">
        <v>352</v>
      </c>
      <c r="E2040">
        <v>36.549999999999997</v>
      </c>
      <c r="G2040">
        <v>200</v>
      </c>
      <c r="I2040" t="str">
        <f>VLOOKUP(G2040,Kostenstellen!$A$1:$C$17,2,0)</f>
        <v>aqua</v>
      </c>
    </row>
    <row r="2041" spans="1:9" x14ac:dyDescent="0.2">
      <c r="A2041">
        <v>6855</v>
      </c>
      <c r="B2041" s="7">
        <v>45735</v>
      </c>
      <c r="C2041" t="s">
        <v>1930</v>
      </c>
      <c r="D2041" t="s">
        <v>352</v>
      </c>
      <c r="E2041">
        <v>10</v>
      </c>
      <c r="G2041">
        <v>200</v>
      </c>
      <c r="I2041" t="str">
        <f>VLOOKUP(G2041,Kostenstellen!$A$1:$C$17,2,0)</f>
        <v>aqua</v>
      </c>
    </row>
    <row r="2042" spans="1:9" x14ac:dyDescent="0.2">
      <c r="A2042">
        <v>6855</v>
      </c>
      <c r="B2042" s="7">
        <v>45740</v>
      </c>
      <c r="C2042" t="s">
        <v>1928</v>
      </c>
      <c r="D2042">
        <v>2025400068</v>
      </c>
      <c r="E2042">
        <v>7.73</v>
      </c>
      <c r="G2042">
        <v>200</v>
      </c>
      <c r="I2042" t="str">
        <f>VLOOKUP(G2042,Kostenstellen!$A$1:$C$17,2,0)</f>
        <v>aqua</v>
      </c>
    </row>
    <row r="2043" spans="1:9" x14ac:dyDescent="0.2">
      <c r="A2043">
        <v>6855</v>
      </c>
      <c r="B2043" s="7">
        <v>45747</v>
      </c>
      <c r="C2043" t="s">
        <v>1931</v>
      </c>
      <c r="D2043" t="s">
        <v>352</v>
      </c>
      <c r="E2043">
        <v>14</v>
      </c>
      <c r="G2043">
        <v>200</v>
      </c>
      <c r="I2043" t="str">
        <f>VLOOKUP(G2043,Kostenstellen!$A$1:$C$17,2,0)</f>
        <v>aqua</v>
      </c>
    </row>
    <row r="2044" spans="1:9" x14ac:dyDescent="0.2">
      <c r="A2044">
        <v>6855</v>
      </c>
      <c r="B2044" s="7">
        <v>45747</v>
      </c>
      <c r="C2044" t="s">
        <v>1936</v>
      </c>
      <c r="D2044">
        <v>3</v>
      </c>
      <c r="E2044">
        <v>153</v>
      </c>
      <c r="G2044">
        <v>200</v>
      </c>
      <c r="I2044" t="str">
        <f>VLOOKUP(G2044,Kostenstellen!$A$1:$C$17,2,0)</f>
        <v>aqua</v>
      </c>
    </row>
    <row r="2045" spans="1:9" x14ac:dyDescent="0.2">
      <c r="A2045">
        <v>6855</v>
      </c>
      <c r="B2045" s="7">
        <v>45747</v>
      </c>
      <c r="C2045" t="s">
        <v>1928</v>
      </c>
      <c r="D2045">
        <v>2025400076</v>
      </c>
      <c r="E2045">
        <v>5.73</v>
      </c>
      <c r="G2045">
        <v>200</v>
      </c>
      <c r="I2045" t="str">
        <f>VLOOKUP(G2045,Kostenstellen!$A$1:$C$17,2,0)</f>
        <v>aqua</v>
      </c>
    </row>
    <row r="2046" spans="1:9" x14ac:dyDescent="0.2">
      <c r="A2046">
        <v>6855</v>
      </c>
      <c r="B2046" s="7">
        <v>45748</v>
      </c>
      <c r="C2046" t="s">
        <v>1938</v>
      </c>
      <c r="D2046" t="s">
        <v>352</v>
      </c>
      <c r="E2046">
        <v>28.45</v>
      </c>
      <c r="G2046">
        <v>200</v>
      </c>
      <c r="I2046" t="str">
        <f>VLOOKUP(G2046,Kostenstellen!$A$1:$C$17,2,0)</f>
        <v>aqua</v>
      </c>
    </row>
    <row r="2047" spans="1:9" x14ac:dyDescent="0.2">
      <c r="A2047">
        <v>6855</v>
      </c>
      <c r="B2047" s="7">
        <v>45748</v>
      </c>
      <c r="C2047" t="s">
        <v>1925</v>
      </c>
      <c r="D2047" t="s">
        <v>352</v>
      </c>
      <c r="E2047">
        <v>35.369999999999997</v>
      </c>
      <c r="G2047">
        <v>200</v>
      </c>
      <c r="I2047" t="str">
        <f>VLOOKUP(G2047,Kostenstellen!$A$1:$C$17,2,0)</f>
        <v>aqua</v>
      </c>
    </row>
    <row r="2048" spans="1:9" x14ac:dyDescent="0.2">
      <c r="A2048">
        <v>6855</v>
      </c>
      <c r="B2048" s="7">
        <v>45748</v>
      </c>
      <c r="C2048" t="s">
        <v>1933</v>
      </c>
      <c r="D2048">
        <v>4</v>
      </c>
      <c r="E2048">
        <v>44</v>
      </c>
      <c r="G2048">
        <v>200</v>
      </c>
      <c r="I2048" t="str">
        <f>VLOOKUP(G2048,Kostenstellen!$A$1:$C$17,2,0)</f>
        <v>aqua</v>
      </c>
    </row>
    <row r="2049" spans="1:9" x14ac:dyDescent="0.2">
      <c r="A2049">
        <v>6855</v>
      </c>
      <c r="B2049" s="7">
        <v>45754</v>
      </c>
      <c r="C2049" t="s">
        <v>1927</v>
      </c>
      <c r="D2049" t="s">
        <v>352</v>
      </c>
      <c r="E2049">
        <v>30</v>
      </c>
      <c r="G2049">
        <v>200</v>
      </c>
      <c r="I2049" t="str">
        <f>VLOOKUP(G2049,Kostenstellen!$A$1:$C$17,2,0)</f>
        <v>aqua</v>
      </c>
    </row>
    <row r="2050" spans="1:9" x14ac:dyDescent="0.2">
      <c r="A2050">
        <v>6855</v>
      </c>
      <c r="B2050" s="7">
        <v>45754</v>
      </c>
      <c r="C2050" t="s">
        <v>1927</v>
      </c>
      <c r="D2050" t="s">
        <v>352</v>
      </c>
      <c r="E2050">
        <v>36.549999999999997</v>
      </c>
      <c r="G2050">
        <v>200</v>
      </c>
      <c r="I2050" t="str">
        <f>VLOOKUP(G2050,Kostenstellen!$A$1:$C$17,2,0)</f>
        <v>aqua</v>
      </c>
    </row>
    <row r="2051" spans="1:9" x14ac:dyDescent="0.2">
      <c r="A2051">
        <v>6855</v>
      </c>
      <c r="B2051" s="7">
        <v>45754</v>
      </c>
      <c r="C2051" t="s">
        <v>1927</v>
      </c>
      <c r="D2051" t="s">
        <v>352</v>
      </c>
      <c r="E2051">
        <v>36.549999999999997</v>
      </c>
      <c r="G2051">
        <v>200</v>
      </c>
      <c r="I2051" t="str">
        <f>VLOOKUP(G2051,Kostenstellen!$A$1:$C$17,2,0)</f>
        <v>aqua</v>
      </c>
    </row>
    <row r="2052" spans="1:9" x14ac:dyDescent="0.2">
      <c r="A2052">
        <v>6855</v>
      </c>
      <c r="B2052" s="7">
        <v>45754</v>
      </c>
      <c r="C2052" t="s">
        <v>1927</v>
      </c>
      <c r="D2052" t="s">
        <v>352</v>
      </c>
      <c r="E2052">
        <v>36.549999999999997</v>
      </c>
      <c r="G2052">
        <v>200</v>
      </c>
      <c r="I2052" t="str">
        <f>VLOOKUP(G2052,Kostenstellen!$A$1:$C$17,2,0)</f>
        <v>aqua</v>
      </c>
    </row>
    <row r="2053" spans="1:9" x14ac:dyDescent="0.2">
      <c r="A2053">
        <v>6855</v>
      </c>
      <c r="B2053" s="7">
        <v>45754</v>
      </c>
      <c r="D2053" t="s">
        <v>352</v>
      </c>
      <c r="E2053">
        <v>36.549999999999997</v>
      </c>
      <c r="G2053">
        <v>200</v>
      </c>
      <c r="I2053" t="str">
        <f>VLOOKUP(G2053,Kostenstellen!$A$1:$C$17,2,0)</f>
        <v>aqua</v>
      </c>
    </row>
    <row r="2054" spans="1:9" x14ac:dyDescent="0.2">
      <c r="A2054">
        <v>6855</v>
      </c>
      <c r="B2054" s="7">
        <v>45754</v>
      </c>
      <c r="C2054" t="s">
        <v>1927</v>
      </c>
      <c r="D2054" t="s">
        <v>352</v>
      </c>
      <c r="E2054">
        <v>36.549999999999997</v>
      </c>
      <c r="G2054">
        <v>200</v>
      </c>
      <c r="I2054" t="str">
        <f>VLOOKUP(G2054,Kostenstellen!$A$1:$C$17,2,0)</f>
        <v>aqua</v>
      </c>
    </row>
    <row r="2055" spans="1:9" x14ac:dyDescent="0.2">
      <c r="A2055">
        <v>6855</v>
      </c>
      <c r="B2055" s="7">
        <v>45754</v>
      </c>
      <c r="C2055" t="s">
        <v>1928</v>
      </c>
      <c r="D2055">
        <v>2025400082</v>
      </c>
      <c r="E2055">
        <v>6.83</v>
      </c>
      <c r="G2055">
        <v>200</v>
      </c>
      <c r="I2055" t="str">
        <f>VLOOKUP(G2055,Kostenstellen!$A$1:$C$17,2,0)</f>
        <v>aqua</v>
      </c>
    </row>
    <row r="2056" spans="1:9" x14ac:dyDescent="0.2">
      <c r="A2056">
        <v>6855</v>
      </c>
      <c r="B2056" s="7">
        <v>45754</v>
      </c>
      <c r="C2056" t="s">
        <v>1927</v>
      </c>
      <c r="D2056" t="s">
        <v>1616</v>
      </c>
      <c r="E2056">
        <v>36.549999999999997</v>
      </c>
      <c r="G2056">
        <v>200</v>
      </c>
      <c r="I2056" t="str">
        <f>VLOOKUP(G2056,Kostenstellen!$A$1:$C$17,2,0)</f>
        <v>aqua</v>
      </c>
    </row>
    <row r="2057" spans="1:9" x14ac:dyDescent="0.2">
      <c r="A2057">
        <v>6855</v>
      </c>
      <c r="B2057" s="7">
        <v>45754</v>
      </c>
      <c r="C2057" t="s">
        <v>1927</v>
      </c>
      <c r="D2057" t="s">
        <v>78</v>
      </c>
      <c r="E2057">
        <v>36.549999999999997</v>
      </c>
      <c r="G2057">
        <v>200</v>
      </c>
      <c r="I2057" t="str">
        <f>VLOOKUP(G2057,Kostenstellen!$A$1:$C$17,2,0)</f>
        <v>aqua</v>
      </c>
    </row>
    <row r="2058" spans="1:9" x14ac:dyDescent="0.2">
      <c r="A2058">
        <v>6855</v>
      </c>
      <c r="B2058" s="7">
        <v>45754</v>
      </c>
      <c r="C2058" t="s">
        <v>1927</v>
      </c>
      <c r="D2058" t="s">
        <v>82</v>
      </c>
      <c r="E2058">
        <v>36.549999999999997</v>
      </c>
      <c r="G2058">
        <v>200</v>
      </c>
      <c r="I2058" t="str">
        <f>VLOOKUP(G2058,Kostenstellen!$A$1:$C$17,2,0)</f>
        <v>aqua</v>
      </c>
    </row>
    <row r="2059" spans="1:9" x14ac:dyDescent="0.2">
      <c r="A2059">
        <v>6855</v>
      </c>
      <c r="B2059" s="7">
        <v>45754</v>
      </c>
      <c r="C2059" t="s">
        <v>1927</v>
      </c>
      <c r="D2059" t="s">
        <v>1618</v>
      </c>
      <c r="E2059">
        <v>39.33</v>
      </c>
      <c r="G2059">
        <v>200</v>
      </c>
      <c r="I2059" t="str">
        <f>VLOOKUP(G2059,Kostenstellen!$A$1:$C$17,2,0)</f>
        <v>aqua</v>
      </c>
    </row>
    <row r="2060" spans="1:9" x14ac:dyDescent="0.2">
      <c r="A2060">
        <v>6855</v>
      </c>
      <c r="B2060" s="7">
        <v>45754</v>
      </c>
      <c r="C2060" t="s">
        <v>1939</v>
      </c>
      <c r="D2060" t="s">
        <v>96</v>
      </c>
      <c r="F2060">
        <v>1.79</v>
      </c>
      <c r="G2060">
        <v>200</v>
      </c>
      <c r="I2060" t="str">
        <f>VLOOKUP(G2060,Kostenstellen!$A$1:$C$17,2,0)</f>
        <v>aqua</v>
      </c>
    </row>
    <row r="2061" spans="1:9" x14ac:dyDescent="0.2">
      <c r="A2061">
        <v>6855</v>
      </c>
      <c r="B2061" s="7">
        <v>45756</v>
      </c>
      <c r="C2061" t="s">
        <v>1940</v>
      </c>
      <c r="D2061">
        <v>2025400062</v>
      </c>
      <c r="E2061">
        <v>25.4</v>
      </c>
      <c r="G2061">
        <v>200</v>
      </c>
      <c r="I2061" t="str">
        <f>VLOOKUP(G2061,Kostenstellen!$A$1:$C$17,2,0)</f>
        <v>aqua</v>
      </c>
    </row>
    <row r="2062" spans="1:9" x14ac:dyDescent="0.2">
      <c r="A2062">
        <v>6855</v>
      </c>
      <c r="B2062" s="7">
        <v>45761</v>
      </c>
      <c r="C2062" t="s">
        <v>1941</v>
      </c>
      <c r="D2062">
        <v>2025400097</v>
      </c>
      <c r="E2062">
        <v>11.66</v>
      </c>
      <c r="G2062">
        <v>200</v>
      </c>
      <c r="I2062" t="str">
        <f>VLOOKUP(G2062,Kostenstellen!$A$1:$C$17,2,0)</f>
        <v>aqua</v>
      </c>
    </row>
    <row r="2063" spans="1:9" x14ac:dyDescent="0.2">
      <c r="A2063">
        <v>6855</v>
      </c>
      <c r="B2063" s="7">
        <v>45763</v>
      </c>
      <c r="C2063" t="s">
        <v>1927</v>
      </c>
      <c r="D2063" t="s">
        <v>352</v>
      </c>
      <c r="E2063">
        <v>36.549999999999997</v>
      </c>
      <c r="G2063">
        <v>200</v>
      </c>
      <c r="I2063" t="str">
        <f>VLOOKUP(G2063,Kostenstellen!$A$1:$C$17,2,0)</f>
        <v>aqua</v>
      </c>
    </row>
    <row r="2064" spans="1:9" x14ac:dyDescent="0.2">
      <c r="A2064">
        <v>6855</v>
      </c>
      <c r="B2064" s="7">
        <v>45764</v>
      </c>
      <c r="C2064" t="s">
        <v>1927</v>
      </c>
      <c r="D2064">
        <v>250415009</v>
      </c>
      <c r="E2064">
        <v>36.549999999999997</v>
      </c>
      <c r="G2064">
        <v>200</v>
      </c>
      <c r="I2064" t="str">
        <f>VLOOKUP(G2064,Kostenstellen!$A$1:$C$17,2,0)</f>
        <v>aqua</v>
      </c>
    </row>
    <row r="2065" spans="1:9" x14ac:dyDescent="0.2">
      <c r="A2065">
        <v>6855</v>
      </c>
      <c r="B2065" s="7">
        <v>45769</v>
      </c>
      <c r="C2065" t="s">
        <v>1938</v>
      </c>
      <c r="D2065" t="s">
        <v>352</v>
      </c>
      <c r="E2065">
        <v>10</v>
      </c>
      <c r="G2065">
        <v>200</v>
      </c>
      <c r="I2065" t="str">
        <f>VLOOKUP(G2065,Kostenstellen!$A$1:$C$17,2,0)</f>
        <v>aqua</v>
      </c>
    </row>
    <row r="2066" spans="1:9" x14ac:dyDescent="0.2">
      <c r="A2066">
        <v>6855</v>
      </c>
      <c r="B2066" s="7">
        <v>45770</v>
      </c>
      <c r="C2066" t="s">
        <v>1927</v>
      </c>
      <c r="D2066" t="s">
        <v>1540</v>
      </c>
      <c r="E2066">
        <v>36.549999999999997</v>
      </c>
      <c r="G2066">
        <v>200</v>
      </c>
      <c r="I2066" t="str">
        <f>VLOOKUP(G2066,Kostenstellen!$A$1:$C$17,2,0)</f>
        <v>aqua</v>
      </c>
    </row>
    <row r="2067" spans="1:9" x14ac:dyDescent="0.2">
      <c r="A2067">
        <v>6855</v>
      </c>
      <c r="B2067" s="7">
        <v>45775</v>
      </c>
      <c r="C2067" t="s">
        <v>1928</v>
      </c>
      <c r="D2067">
        <v>2025400105</v>
      </c>
      <c r="E2067">
        <v>10.85</v>
      </c>
      <c r="G2067">
        <v>200</v>
      </c>
      <c r="I2067" t="str">
        <f>VLOOKUP(G2067,Kostenstellen!$A$1:$C$17,2,0)</f>
        <v>aqua</v>
      </c>
    </row>
    <row r="2068" spans="1:9" x14ac:dyDescent="0.2">
      <c r="A2068">
        <v>6855</v>
      </c>
      <c r="B2068" s="7">
        <v>45777</v>
      </c>
      <c r="C2068" t="s">
        <v>1931</v>
      </c>
      <c r="D2068" t="s">
        <v>352</v>
      </c>
      <c r="E2068">
        <v>16.66</v>
      </c>
      <c r="G2068">
        <v>200</v>
      </c>
      <c r="I2068" t="str">
        <f>VLOOKUP(G2068,Kostenstellen!$A$1:$C$17,2,0)</f>
        <v>aqua</v>
      </c>
    </row>
    <row r="2069" spans="1:9" x14ac:dyDescent="0.2">
      <c r="A2069">
        <v>6855</v>
      </c>
      <c r="B2069" s="7">
        <v>45777</v>
      </c>
      <c r="C2069" t="s">
        <v>1933</v>
      </c>
      <c r="D2069">
        <v>4</v>
      </c>
      <c r="E2069">
        <v>3.1</v>
      </c>
      <c r="G2069">
        <v>200</v>
      </c>
      <c r="I2069" t="str">
        <f>VLOOKUP(G2069,Kostenstellen!$A$1:$C$17,2,0)</f>
        <v>aqua</v>
      </c>
    </row>
    <row r="2070" spans="1:9" x14ac:dyDescent="0.2">
      <c r="A2070">
        <v>6855</v>
      </c>
      <c r="B2070" s="7">
        <v>45779</v>
      </c>
      <c r="C2070" t="s">
        <v>1930</v>
      </c>
      <c r="D2070" t="s">
        <v>352</v>
      </c>
      <c r="E2070">
        <v>28.6</v>
      </c>
      <c r="G2070">
        <v>200</v>
      </c>
      <c r="I2070" t="str">
        <f>VLOOKUP(G2070,Kostenstellen!$A$1:$C$17,2,0)</f>
        <v>aqua</v>
      </c>
    </row>
    <row r="2071" spans="1:9" x14ac:dyDescent="0.2">
      <c r="A2071">
        <v>6855</v>
      </c>
      <c r="B2071" s="7">
        <v>45779</v>
      </c>
      <c r="C2071" t="s">
        <v>1925</v>
      </c>
      <c r="D2071" t="s">
        <v>352</v>
      </c>
      <c r="E2071">
        <v>34.369999999999997</v>
      </c>
      <c r="G2071">
        <v>200</v>
      </c>
      <c r="I2071" t="str">
        <f>VLOOKUP(G2071,Kostenstellen!$A$1:$C$17,2,0)</f>
        <v>aqua</v>
      </c>
    </row>
    <row r="2072" spans="1:9" x14ac:dyDescent="0.2">
      <c r="A2072">
        <v>6855</v>
      </c>
      <c r="B2072" s="7">
        <v>45779</v>
      </c>
      <c r="C2072" t="s">
        <v>1933</v>
      </c>
      <c r="D2072">
        <v>5</v>
      </c>
      <c r="E2072">
        <v>44</v>
      </c>
      <c r="G2072">
        <v>200</v>
      </c>
      <c r="I2072" t="str">
        <f>VLOOKUP(G2072,Kostenstellen!$A$1:$C$17,2,0)</f>
        <v>aqua</v>
      </c>
    </row>
    <row r="2073" spans="1:9" x14ac:dyDescent="0.2">
      <c r="A2073">
        <v>6855</v>
      </c>
      <c r="B2073" s="7">
        <v>45782</v>
      </c>
      <c r="C2073" t="s">
        <v>1927</v>
      </c>
      <c r="D2073" t="s">
        <v>352</v>
      </c>
      <c r="E2073">
        <v>36.549999999999997</v>
      </c>
      <c r="G2073">
        <v>200</v>
      </c>
      <c r="I2073" t="str">
        <f>VLOOKUP(G2073,Kostenstellen!$A$1:$C$17,2,0)</f>
        <v>aqua</v>
      </c>
    </row>
    <row r="2074" spans="1:9" x14ac:dyDescent="0.2">
      <c r="A2074">
        <v>6855</v>
      </c>
      <c r="B2074" s="7">
        <v>45782</v>
      </c>
      <c r="C2074" t="s">
        <v>1927</v>
      </c>
      <c r="D2074" t="s">
        <v>352</v>
      </c>
      <c r="E2074">
        <v>30</v>
      </c>
      <c r="G2074">
        <v>200</v>
      </c>
      <c r="I2074" t="str">
        <f>VLOOKUP(G2074,Kostenstellen!$A$1:$C$17,2,0)</f>
        <v>aqua</v>
      </c>
    </row>
    <row r="2075" spans="1:9" x14ac:dyDescent="0.2">
      <c r="A2075">
        <v>6855</v>
      </c>
      <c r="B2075" s="7">
        <v>45782</v>
      </c>
      <c r="C2075" t="s">
        <v>1927</v>
      </c>
      <c r="D2075" t="s">
        <v>352</v>
      </c>
      <c r="E2075">
        <v>36.549999999999997</v>
      </c>
      <c r="G2075">
        <v>200</v>
      </c>
      <c r="I2075" t="str">
        <f>VLOOKUP(G2075,Kostenstellen!$A$1:$C$17,2,0)</f>
        <v>aqua</v>
      </c>
    </row>
    <row r="2076" spans="1:9" x14ac:dyDescent="0.2">
      <c r="A2076">
        <v>6855</v>
      </c>
      <c r="B2076" s="7">
        <v>45782</v>
      </c>
      <c r="C2076" t="s">
        <v>1621</v>
      </c>
      <c r="D2076" t="s">
        <v>1622</v>
      </c>
      <c r="E2076">
        <v>36.549999999999997</v>
      </c>
      <c r="G2076">
        <v>200</v>
      </c>
      <c r="I2076" t="str">
        <f>VLOOKUP(G2076,Kostenstellen!$A$1:$C$17,2,0)</f>
        <v>aqua</v>
      </c>
    </row>
    <row r="2077" spans="1:9" x14ac:dyDescent="0.2">
      <c r="A2077">
        <v>6855</v>
      </c>
      <c r="B2077" s="7">
        <v>45782</v>
      </c>
      <c r="C2077" t="s">
        <v>106</v>
      </c>
      <c r="D2077" t="s">
        <v>107</v>
      </c>
      <c r="E2077">
        <v>36.549999999999997</v>
      </c>
      <c r="G2077">
        <v>200</v>
      </c>
      <c r="I2077" t="str">
        <f>VLOOKUP(G2077,Kostenstellen!$A$1:$C$17,2,0)</f>
        <v>aqua</v>
      </c>
    </row>
    <row r="2078" spans="1:9" x14ac:dyDescent="0.2">
      <c r="A2078">
        <v>6855</v>
      </c>
      <c r="B2078" s="7">
        <v>45782</v>
      </c>
      <c r="C2078" t="s">
        <v>110</v>
      </c>
      <c r="D2078" t="s">
        <v>111</v>
      </c>
      <c r="E2078">
        <v>36.549999999999997</v>
      </c>
      <c r="G2078">
        <v>200</v>
      </c>
      <c r="I2078" t="str">
        <f>VLOOKUP(G2078,Kostenstellen!$A$1:$C$17,2,0)</f>
        <v>aqua</v>
      </c>
    </row>
    <row r="2079" spans="1:9" x14ac:dyDescent="0.2">
      <c r="A2079">
        <v>6855</v>
      </c>
      <c r="B2079" s="7">
        <v>45782</v>
      </c>
      <c r="C2079" t="s">
        <v>112</v>
      </c>
      <c r="D2079" t="s">
        <v>113</v>
      </c>
      <c r="E2079">
        <v>36.549999999999997</v>
      </c>
      <c r="G2079">
        <v>200</v>
      </c>
      <c r="I2079" t="str">
        <f>VLOOKUP(G2079,Kostenstellen!$A$1:$C$17,2,0)</f>
        <v>aqua</v>
      </c>
    </row>
    <row r="2080" spans="1:9" x14ac:dyDescent="0.2">
      <c r="A2080">
        <v>6855</v>
      </c>
      <c r="B2080" s="7">
        <v>45782</v>
      </c>
      <c r="C2080" t="s">
        <v>1927</v>
      </c>
      <c r="D2080" t="s">
        <v>1624</v>
      </c>
      <c r="E2080">
        <v>39.299999999999997</v>
      </c>
      <c r="G2080">
        <v>200</v>
      </c>
      <c r="I2080" t="str">
        <f>VLOOKUP(G2080,Kostenstellen!$A$1:$C$17,2,0)</f>
        <v>aqua</v>
      </c>
    </row>
    <row r="2081" spans="1:9" x14ac:dyDescent="0.2">
      <c r="A2081">
        <v>6855</v>
      </c>
      <c r="B2081" s="7">
        <v>45782</v>
      </c>
      <c r="C2081" t="s">
        <v>122</v>
      </c>
      <c r="D2081" t="s">
        <v>123</v>
      </c>
      <c r="E2081">
        <v>36.549999999999997</v>
      </c>
      <c r="G2081">
        <v>200</v>
      </c>
      <c r="I2081" t="str">
        <f>VLOOKUP(G2081,Kostenstellen!$A$1:$C$17,2,0)</f>
        <v>aqua</v>
      </c>
    </row>
    <row r="2082" spans="1:9" x14ac:dyDescent="0.2">
      <c r="A2082">
        <v>6855</v>
      </c>
      <c r="B2082" s="7">
        <v>45786</v>
      </c>
      <c r="C2082" t="s">
        <v>1942</v>
      </c>
      <c r="D2082">
        <v>2025400100</v>
      </c>
      <c r="E2082">
        <v>18.18</v>
      </c>
      <c r="G2082">
        <v>200</v>
      </c>
      <c r="I2082" t="str">
        <f>VLOOKUP(G2082,Kostenstellen!$A$1:$C$17,2,0)</f>
        <v>aqua</v>
      </c>
    </row>
    <row r="2083" spans="1:9" x14ac:dyDescent="0.2">
      <c r="A2083">
        <v>6855</v>
      </c>
      <c r="B2083" s="7">
        <v>45789</v>
      </c>
      <c r="C2083" t="s">
        <v>1928</v>
      </c>
      <c r="D2083">
        <v>2025400110</v>
      </c>
      <c r="E2083">
        <v>22.76</v>
      </c>
      <c r="G2083">
        <v>200</v>
      </c>
      <c r="I2083" t="str">
        <f>VLOOKUP(G2083,Kostenstellen!$A$1:$C$17,2,0)</f>
        <v>aqua</v>
      </c>
    </row>
    <row r="2084" spans="1:9" x14ac:dyDescent="0.2">
      <c r="A2084">
        <v>6855</v>
      </c>
      <c r="B2084" s="7">
        <v>45793</v>
      </c>
      <c r="C2084" t="s">
        <v>1933</v>
      </c>
      <c r="D2084">
        <v>5</v>
      </c>
      <c r="E2084">
        <v>149.9</v>
      </c>
      <c r="G2084">
        <v>200</v>
      </c>
      <c r="I2084" t="str">
        <f>VLOOKUP(G2084,Kostenstellen!$A$1:$C$17,2,0)</f>
        <v>aqua</v>
      </c>
    </row>
    <row r="2085" spans="1:9" x14ac:dyDescent="0.2">
      <c r="A2085">
        <v>6855</v>
      </c>
      <c r="B2085" s="7">
        <v>45796</v>
      </c>
      <c r="C2085" t="s">
        <v>1930</v>
      </c>
      <c r="D2085" t="s">
        <v>352</v>
      </c>
      <c r="E2085">
        <v>10</v>
      </c>
      <c r="G2085">
        <v>200</v>
      </c>
      <c r="I2085" t="str">
        <f>VLOOKUP(G2085,Kostenstellen!$A$1:$C$17,2,0)</f>
        <v>aqua</v>
      </c>
    </row>
    <row r="2086" spans="1:9" x14ac:dyDescent="0.2">
      <c r="A2086">
        <v>6855</v>
      </c>
      <c r="B2086" s="7">
        <v>45796</v>
      </c>
      <c r="C2086" t="s">
        <v>1928</v>
      </c>
      <c r="D2086">
        <v>2025400124</v>
      </c>
      <c r="E2086">
        <v>68.17</v>
      </c>
      <c r="G2086">
        <v>200</v>
      </c>
      <c r="I2086" t="str">
        <f>VLOOKUP(G2086,Kostenstellen!$A$1:$C$17,2,0)</f>
        <v>aqua</v>
      </c>
    </row>
    <row r="2087" spans="1:9" x14ac:dyDescent="0.2">
      <c r="A2087">
        <v>6855</v>
      </c>
      <c r="B2087" s="7">
        <v>45797</v>
      </c>
      <c r="C2087" t="s">
        <v>130</v>
      </c>
      <c r="D2087" t="s">
        <v>352</v>
      </c>
      <c r="E2087">
        <v>36.549999999999997</v>
      </c>
      <c r="G2087">
        <v>200</v>
      </c>
      <c r="I2087" t="str">
        <f>VLOOKUP(G2087,Kostenstellen!$A$1:$C$17,2,0)</f>
        <v>aqua</v>
      </c>
    </row>
    <row r="2088" spans="1:9" x14ac:dyDescent="0.2">
      <c r="A2088">
        <v>6855</v>
      </c>
      <c r="B2088" s="7">
        <v>45799</v>
      </c>
      <c r="C2088" t="s">
        <v>1927</v>
      </c>
      <c r="D2088" t="s">
        <v>352</v>
      </c>
      <c r="E2088">
        <v>36.549999999999997</v>
      </c>
      <c r="G2088">
        <v>200</v>
      </c>
      <c r="I2088" t="str">
        <f>VLOOKUP(G2088,Kostenstellen!$A$1:$C$17,2,0)</f>
        <v>aqua</v>
      </c>
    </row>
    <row r="2089" spans="1:9" x14ac:dyDescent="0.2">
      <c r="A2089">
        <v>6855</v>
      </c>
      <c r="B2089" s="7">
        <v>45803</v>
      </c>
      <c r="C2089" t="s">
        <v>1928</v>
      </c>
      <c r="D2089">
        <v>2025400126</v>
      </c>
      <c r="E2089">
        <v>7.65</v>
      </c>
      <c r="G2089">
        <v>200</v>
      </c>
      <c r="I2089" t="str">
        <f>VLOOKUP(G2089,Kostenstellen!$A$1:$C$17,2,0)</f>
        <v>aqua</v>
      </c>
    </row>
    <row r="2090" spans="1:9" x14ac:dyDescent="0.2">
      <c r="A2090">
        <v>6855</v>
      </c>
      <c r="B2090" s="7">
        <v>45807</v>
      </c>
      <c r="C2090" t="s">
        <v>1931</v>
      </c>
      <c r="D2090" t="s">
        <v>352</v>
      </c>
      <c r="E2090">
        <v>12.8</v>
      </c>
      <c r="G2090">
        <v>200</v>
      </c>
      <c r="I2090" t="str">
        <f>VLOOKUP(G2090,Kostenstellen!$A$1:$C$17,2,0)</f>
        <v>aqua</v>
      </c>
    </row>
    <row r="2091" spans="1:9" x14ac:dyDescent="0.2">
      <c r="A2091">
        <v>6855</v>
      </c>
      <c r="B2091" s="7">
        <v>45807</v>
      </c>
      <c r="C2091" t="s">
        <v>1933</v>
      </c>
      <c r="D2091">
        <v>5</v>
      </c>
      <c r="E2091">
        <v>153</v>
      </c>
      <c r="G2091">
        <v>200</v>
      </c>
      <c r="I2091" t="str">
        <f>VLOOKUP(G2091,Kostenstellen!$A$1:$C$17,2,0)</f>
        <v>aqua</v>
      </c>
    </row>
    <row r="2092" spans="1:9" x14ac:dyDescent="0.2">
      <c r="A2092">
        <v>6855</v>
      </c>
      <c r="B2092" s="7">
        <v>45810</v>
      </c>
      <c r="C2092" t="s">
        <v>1930</v>
      </c>
      <c r="D2092" t="s">
        <v>352</v>
      </c>
      <c r="E2092">
        <v>28.6</v>
      </c>
      <c r="G2092">
        <v>200</v>
      </c>
      <c r="I2092" t="str">
        <f>VLOOKUP(G2092,Kostenstellen!$A$1:$C$17,2,0)</f>
        <v>aqua</v>
      </c>
    </row>
    <row r="2093" spans="1:9" x14ac:dyDescent="0.2">
      <c r="A2093">
        <v>6855</v>
      </c>
      <c r="B2093" s="7">
        <v>45810</v>
      </c>
      <c r="C2093" t="s">
        <v>1926</v>
      </c>
      <c r="D2093" t="s">
        <v>352</v>
      </c>
      <c r="E2093">
        <v>30.67</v>
      </c>
      <c r="G2093">
        <v>200</v>
      </c>
      <c r="I2093" t="str">
        <f>VLOOKUP(G2093,Kostenstellen!$A$1:$C$17,2,0)</f>
        <v>aqua</v>
      </c>
    </row>
    <row r="2094" spans="1:9" x14ac:dyDescent="0.2">
      <c r="A2094">
        <v>6855</v>
      </c>
      <c r="B2094" s="7">
        <v>45810</v>
      </c>
      <c r="C2094" t="s">
        <v>1933</v>
      </c>
      <c r="D2094" t="s">
        <v>352</v>
      </c>
      <c r="E2094">
        <v>53</v>
      </c>
      <c r="G2094">
        <v>200</v>
      </c>
      <c r="I2094" t="str">
        <f>VLOOKUP(G2094,Kostenstellen!$A$1:$C$17,2,0)</f>
        <v>aqua</v>
      </c>
    </row>
    <row r="2095" spans="1:9" x14ac:dyDescent="0.2">
      <c r="A2095">
        <v>6855</v>
      </c>
      <c r="B2095" s="7">
        <v>45810</v>
      </c>
      <c r="C2095" t="s">
        <v>1943</v>
      </c>
      <c r="D2095">
        <v>2025400009</v>
      </c>
      <c r="E2095">
        <v>5.5</v>
      </c>
      <c r="G2095">
        <v>200</v>
      </c>
      <c r="I2095" t="str">
        <f>VLOOKUP(G2095,Kostenstellen!$A$1:$C$17,2,0)</f>
        <v>aqua</v>
      </c>
    </row>
    <row r="2096" spans="1:9" x14ac:dyDescent="0.2">
      <c r="A2096">
        <v>6855</v>
      </c>
      <c r="B2096" s="7">
        <v>45812</v>
      </c>
      <c r="C2096" t="s">
        <v>1927</v>
      </c>
      <c r="D2096" t="s">
        <v>352</v>
      </c>
      <c r="E2096">
        <v>36.549999999999997</v>
      </c>
      <c r="G2096">
        <v>200</v>
      </c>
      <c r="I2096" t="str">
        <f>VLOOKUP(G2096,Kostenstellen!$A$1:$C$17,2,0)</f>
        <v>aqua</v>
      </c>
    </row>
    <row r="2097" spans="1:9" x14ac:dyDescent="0.2">
      <c r="A2097">
        <v>6855</v>
      </c>
      <c r="B2097" s="7">
        <v>45812</v>
      </c>
      <c r="C2097" t="s">
        <v>1927</v>
      </c>
      <c r="D2097" t="s">
        <v>352</v>
      </c>
      <c r="E2097">
        <v>36.549999999999997</v>
      </c>
      <c r="G2097">
        <v>200</v>
      </c>
      <c r="I2097" t="str">
        <f>VLOOKUP(G2097,Kostenstellen!$A$1:$C$17,2,0)</f>
        <v>aqua</v>
      </c>
    </row>
    <row r="2098" spans="1:9" x14ac:dyDescent="0.2">
      <c r="A2098">
        <v>6855</v>
      </c>
      <c r="B2098" s="7">
        <v>45812</v>
      </c>
      <c r="C2098" t="s">
        <v>1927</v>
      </c>
      <c r="D2098" t="s">
        <v>352</v>
      </c>
      <c r="E2098">
        <v>36.549999999999997</v>
      </c>
      <c r="G2098">
        <v>200</v>
      </c>
      <c r="I2098" t="str">
        <f>VLOOKUP(G2098,Kostenstellen!$A$1:$C$17,2,0)</f>
        <v>aqua</v>
      </c>
    </row>
    <row r="2099" spans="1:9" x14ac:dyDescent="0.2">
      <c r="A2099">
        <v>6855</v>
      </c>
      <c r="B2099" s="7">
        <v>45812</v>
      </c>
      <c r="C2099" t="s">
        <v>1927</v>
      </c>
      <c r="D2099" t="s">
        <v>352</v>
      </c>
      <c r="E2099">
        <v>36.549999999999997</v>
      </c>
      <c r="G2099">
        <v>200</v>
      </c>
      <c r="I2099" t="str">
        <f>VLOOKUP(G2099,Kostenstellen!$A$1:$C$17,2,0)</f>
        <v>aqua</v>
      </c>
    </row>
    <row r="2100" spans="1:9" x14ac:dyDescent="0.2">
      <c r="A2100">
        <v>6855</v>
      </c>
      <c r="B2100" s="7">
        <v>45812</v>
      </c>
      <c r="C2100" t="s">
        <v>1927</v>
      </c>
      <c r="D2100" t="s">
        <v>352</v>
      </c>
      <c r="E2100">
        <v>36.549999999999997</v>
      </c>
      <c r="G2100">
        <v>200</v>
      </c>
      <c r="I2100" t="str">
        <f>VLOOKUP(G2100,Kostenstellen!$A$1:$C$17,2,0)</f>
        <v>aqua</v>
      </c>
    </row>
    <row r="2101" spans="1:9" x14ac:dyDescent="0.2">
      <c r="A2101">
        <v>6855</v>
      </c>
      <c r="B2101" s="7">
        <v>45812</v>
      </c>
      <c r="C2101" t="s">
        <v>1927</v>
      </c>
      <c r="D2101" t="s">
        <v>352</v>
      </c>
      <c r="E2101">
        <v>39.39</v>
      </c>
      <c r="G2101">
        <v>200</v>
      </c>
      <c r="I2101" t="str">
        <f>VLOOKUP(G2101,Kostenstellen!$A$1:$C$17,2,0)</f>
        <v>aqua</v>
      </c>
    </row>
    <row r="2102" spans="1:9" x14ac:dyDescent="0.2">
      <c r="A2102">
        <v>6855</v>
      </c>
      <c r="B2102" s="7">
        <v>45813</v>
      </c>
      <c r="C2102" t="s">
        <v>1927</v>
      </c>
      <c r="D2102" t="s">
        <v>352</v>
      </c>
      <c r="E2102">
        <v>30</v>
      </c>
      <c r="G2102">
        <v>200</v>
      </c>
      <c r="I2102" t="str">
        <f>VLOOKUP(G2102,Kostenstellen!$A$1:$C$17,2,0)</f>
        <v>aqua</v>
      </c>
    </row>
    <row r="2103" spans="1:9" x14ac:dyDescent="0.2">
      <c r="A2103">
        <v>6855</v>
      </c>
      <c r="B2103" s="7">
        <v>45817</v>
      </c>
      <c r="C2103" t="s">
        <v>1928</v>
      </c>
      <c r="D2103">
        <v>2025400130</v>
      </c>
      <c r="E2103">
        <v>29.78</v>
      </c>
      <c r="G2103">
        <v>200</v>
      </c>
      <c r="I2103" t="str">
        <f>VLOOKUP(G2103,Kostenstellen!$A$1:$C$17,2,0)</f>
        <v>aqua</v>
      </c>
    </row>
    <row r="2104" spans="1:9" x14ac:dyDescent="0.2">
      <c r="A2104">
        <v>6855</v>
      </c>
      <c r="B2104" s="7">
        <v>45824</v>
      </c>
      <c r="C2104" t="s">
        <v>1928</v>
      </c>
      <c r="D2104">
        <v>2025400134</v>
      </c>
      <c r="E2104">
        <v>131.16999999999999</v>
      </c>
      <c r="G2104">
        <v>200</v>
      </c>
      <c r="I2104" t="str">
        <f>VLOOKUP(G2104,Kostenstellen!$A$1:$C$17,2,0)</f>
        <v>aqua</v>
      </c>
    </row>
    <row r="2105" spans="1:9" x14ac:dyDescent="0.2">
      <c r="A2105">
        <v>6855</v>
      </c>
      <c r="B2105" s="7">
        <v>45828</v>
      </c>
      <c r="C2105" t="s">
        <v>1930</v>
      </c>
      <c r="D2105" t="s">
        <v>352</v>
      </c>
      <c r="E2105">
        <v>10</v>
      </c>
      <c r="G2105">
        <v>200</v>
      </c>
      <c r="I2105" t="str">
        <f>VLOOKUP(G2105,Kostenstellen!$A$1:$C$17,2,0)</f>
        <v>aqua</v>
      </c>
    </row>
    <row r="2106" spans="1:9" x14ac:dyDescent="0.2">
      <c r="A2106">
        <v>6855</v>
      </c>
      <c r="B2106" s="7">
        <v>45831</v>
      </c>
      <c r="C2106" t="s">
        <v>1927</v>
      </c>
      <c r="D2106" t="s">
        <v>352</v>
      </c>
      <c r="E2106">
        <v>36.549999999999997</v>
      </c>
      <c r="G2106">
        <v>200</v>
      </c>
      <c r="I2106" t="str">
        <f>VLOOKUP(G2106,Kostenstellen!$A$1:$C$17,2,0)</f>
        <v>aqua</v>
      </c>
    </row>
    <row r="2107" spans="1:9" x14ac:dyDescent="0.2">
      <c r="A2107">
        <v>6855</v>
      </c>
      <c r="B2107" s="7">
        <v>45831</v>
      </c>
      <c r="C2107" t="s">
        <v>1928</v>
      </c>
      <c r="D2107">
        <v>2025400154</v>
      </c>
      <c r="E2107">
        <v>7.69</v>
      </c>
      <c r="G2107">
        <v>200</v>
      </c>
      <c r="I2107" t="str">
        <f>VLOOKUP(G2107,Kostenstellen!$A$1:$C$17,2,0)</f>
        <v>aqua</v>
      </c>
    </row>
    <row r="2108" spans="1:9" x14ac:dyDescent="0.2">
      <c r="A2108">
        <v>6855</v>
      </c>
      <c r="B2108" s="7">
        <v>45838</v>
      </c>
      <c r="C2108" t="s">
        <v>1933</v>
      </c>
      <c r="D2108" t="s">
        <v>352</v>
      </c>
      <c r="E2108">
        <v>157.85</v>
      </c>
      <c r="G2108">
        <v>200</v>
      </c>
      <c r="I2108" t="str">
        <f>VLOOKUP(G2108,Kostenstellen!$A$1:$C$17,2,0)</f>
        <v>aqua</v>
      </c>
    </row>
    <row r="2109" spans="1:9" x14ac:dyDescent="0.2">
      <c r="A2109">
        <v>6855</v>
      </c>
      <c r="B2109" s="7">
        <v>45838</v>
      </c>
      <c r="C2109" t="s">
        <v>1931</v>
      </c>
      <c r="D2109" t="s">
        <v>352</v>
      </c>
      <c r="E2109">
        <v>12.8</v>
      </c>
      <c r="G2109">
        <v>200</v>
      </c>
      <c r="I2109" t="str">
        <f>VLOOKUP(G2109,Kostenstellen!$A$1:$C$17,2,0)</f>
        <v>aqua</v>
      </c>
    </row>
    <row r="2110" spans="1:9" x14ac:dyDescent="0.2">
      <c r="A2110">
        <v>6855</v>
      </c>
      <c r="B2110" s="7">
        <v>45838</v>
      </c>
      <c r="C2110" t="s">
        <v>1928</v>
      </c>
      <c r="D2110">
        <v>2025400152</v>
      </c>
      <c r="E2110">
        <v>267.02999999999997</v>
      </c>
      <c r="G2110">
        <v>200</v>
      </c>
      <c r="I2110" t="str">
        <f>VLOOKUP(G2110,Kostenstellen!$A$1:$C$17,2,0)</f>
        <v>aqua</v>
      </c>
    </row>
    <row r="2111" spans="1:9" x14ac:dyDescent="0.2">
      <c r="A2111">
        <v>6855</v>
      </c>
      <c r="B2111" s="7">
        <v>45839</v>
      </c>
      <c r="C2111" t="s">
        <v>1938</v>
      </c>
      <c r="D2111" t="s">
        <v>352</v>
      </c>
      <c r="E2111">
        <v>28.6</v>
      </c>
      <c r="G2111">
        <v>200</v>
      </c>
      <c r="I2111" t="str">
        <f>VLOOKUP(G2111,Kostenstellen!$A$1:$C$17,2,0)</f>
        <v>aqua</v>
      </c>
    </row>
    <row r="2112" spans="1:9" x14ac:dyDescent="0.2">
      <c r="A2112">
        <v>6855</v>
      </c>
      <c r="B2112" s="7">
        <v>45839</v>
      </c>
      <c r="C2112" t="s">
        <v>1936</v>
      </c>
      <c r="D2112" t="s">
        <v>352</v>
      </c>
      <c r="E2112">
        <v>53</v>
      </c>
      <c r="G2112">
        <v>200</v>
      </c>
      <c r="I2112" t="str">
        <f>VLOOKUP(G2112,Kostenstellen!$A$1:$C$17,2,0)</f>
        <v>aqua</v>
      </c>
    </row>
    <row r="2113" spans="1:9" x14ac:dyDescent="0.2">
      <c r="A2113">
        <v>6855</v>
      </c>
      <c r="B2113" s="7">
        <v>45839</v>
      </c>
      <c r="C2113" t="s">
        <v>1925</v>
      </c>
      <c r="D2113" t="s">
        <v>352</v>
      </c>
      <c r="E2113">
        <v>28.17</v>
      </c>
      <c r="G2113">
        <v>200</v>
      </c>
      <c r="I2113" t="str">
        <f>VLOOKUP(G2113,Kostenstellen!$A$1:$C$17,2,0)</f>
        <v>aqua</v>
      </c>
    </row>
    <row r="2114" spans="1:9" x14ac:dyDescent="0.2">
      <c r="A2114">
        <v>6855</v>
      </c>
      <c r="B2114" s="7">
        <v>45840</v>
      </c>
      <c r="C2114" t="s">
        <v>1927</v>
      </c>
      <c r="D2114" t="s">
        <v>352</v>
      </c>
      <c r="E2114">
        <v>36.549999999999997</v>
      </c>
      <c r="G2114">
        <v>200</v>
      </c>
      <c r="I2114" t="str">
        <f>VLOOKUP(G2114,Kostenstellen!$A$1:$C$17,2,0)</f>
        <v>aqua</v>
      </c>
    </row>
    <row r="2115" spans="1:9" x14ac:dyDescent="0.2">
      <c r="A2115">
        <v>6855</v>
      </c>
      <c r="B2115" s="7">
        <v>45840</v>
      </c>
      <c r="C2115" t="s">
        <v>1927</v>
      </c>
      <c r="D2115" t="s">
        <v>352</v>
      </c>
      <c r="E2115">
        <v>36.549999999999997</v>
      </c>
      <c r="G2115">
        <v>200</v>
      </c>
      <c r="I2115" t="str">
        <f>VLOOKUP(G2115,Kostenstellen!$A$1:$C$17,2,0)</f>
        <v>aqua</v>
      </c>
    </row>
    <row r="2116" spans="1:9" x14ac:dyDescent="0.2">
      <c r="A2116">
        <v>6855</v>
      </c>
      <c r="B2116" s="7">
        <v>45840</v>
      </c>
      <c r="C2116" t="s">
        <v>1927</v>
      </c>
      <c r="D2116" t="s">
        <v>352</v>
      </c>
      <c r="E2116">
        <v>36.549999999999997</v>
      </c>
      <c r="G2116">
        <v>200</v>
      </c>
      <c r="I2116" t="str">
        <f>VLOOKUP(G2116,Kostenstellen!$A$1:$C$17,2,0)</f>
        <v>aqua</v>
      </c>
    </row>
    <row r="2117" spans="1:9" x14ac:dyDescent="0.2">
      <c r="A2117">
        <v>6855</v>
      </c>
      <c r="B2117" s="7">
        <v>45840</v>
      </c>
      <c r="C2117" t="s">
        <v>1927</v>
      </c>
      <c r="D2117" t="s">
        <v>352</v>
      </c>
      <c r="E2117">
        <v>36.549999999999997</v>
      </c>
      <c r="G2117">
        <v>200</v>
      </c>
      <c r="I2117" t="str">
        <f>VLOOKUP(G2117,Kostenstellen!$A$1:$C$17,2,0)</f>
        <v>aqua</v>
      </c>
    </row>
    <row r="2118" spans="1:9" x14ac:dyDescent="0.2">
      <c r="A2118">
        <v>6855</v>
      </c>
      <c r="B2118" s="7">
        <v>45840</v>
      </c>
      <c r="C2118" t="s">
        <v>1927</v>
      </c>
      <c r="D2118" t="s">
        <v>352</v>
      </c>
      <c r="E2118">
        <v>36.549999999999997</v>
      </c>
      <c r="G2118">
        <v>200</v>
      </c>
      <c r="I2118" t="str">
        <f>VLOOKUP(G2118,Kostenstellen!$A$1:$C$17,2,0)</f>
        <v>aqua</v>
      </c>
    </row>
    <row r="2119" spans="1:9" x14ac:dyDescent="0.2">
      <c r="A2119">
        <v>6855</v>
      </c>
      <c r="B2119" s="7">
        <v>45840</v>
      </c>
      <c r="C2119" t="s">
        <v>1927</v>
      </c>
      <c r="D2119" t="s">
        <v>352</v>
      </c>
      <c r="E2119">
        <v>36.549999999999997</v>
      </c>
      <c r="G2119">
        <v>200</v>
      </c>
      <c r="I2119" t="str">
        <f>VLOOKUP(G2119,Kostenstellen!$A$1:$C$17,2,0)</f>
        <v>aqua</v>
      </c>
    </row>
    <row r="2120" spans="1:9" x14ac:dyDescent="0.2">
      <c r="A2120">
        <v>6855</v>
      </c>
      <c r="B2120" s="7">
        <v>45840</v>
      </c>
      <c r="C2120" t="s">
        <v>1927</v>
      </c>
      <c r="D2120" t="s">
        <v>352</v>
      </c>
      <c r="E2120">
        <v>39.299999999999997</v>
      </c>
      <c r="G2120">
        <v>200</v>
      </c>
      <c r="I2120" t="str">
        <f>VLOOKUP(G2120,Kostenstellen!$A$1:$C$17,2,0)</f>
        <v>aqua</v>
      </c>
    </row>
    <row r="2121" spans="1:9" x14ac:dyDescent="0.2">
      <c r="A2121">
        <v>6855</v>
      </c>
      <c r="B2121" s="7">
        <v>45840</v>
      </c>
      <c r="C2121" t="s">
        <v>1927</v>
      </c>
      <c r="D2121" t="s">
        <v>352</v>
      </c>
      <c r="E2121">
        <v>30</v>
      </c>
      <c r="G2121">
        <v>200</v>
      </c>
      <c r="I2121" t="str">
        <f>VLOOKUP(G2121,Kostenstellen!$A$1:$C$17,2,0)</f>
        <v>aqua</v>
      </c>
    </row>
    <row r="2122" spans="1:9" x14ac:dyDescent="0.2">
      <c r="A2122">
        <v>6855</v>
      </c>
      <c r="B2122" s="7">
        <v>45845</v>
      </c>
      <c r="C2122" t="s">
        <v>1928</v>
      </c>
      <c r="D2122">
        <v>2025400157</v>
      </c>
      <c r="E2122">
        <v>6.83</v>
      </c>
      <c r="G2122">
        <v>200</v>
      </c>
      <c r="I2122" t="str">
        <f>VLOOKUP(G2122,Kostenstellen!$A$1:$C$17,2,0)</f>
        <v>aqua</v>
      </c>
    </row>
    <row r="2123" spans="1:9" x14ac:dyDescent="0.2">
      <c r="A2123">
        <v>6855</v>
      </c>
      <c r="B2123" s="7">
        <v>45852</v>
      </c>
      <c r="C2123" t="s">
        <v>1928</v>
      </c>
      <c r="D2123">
        <v>2025400169</v>
      </c>
      <c r="E2123">
        <v>15.91</v>
      </c>
      <c r="G2123">
        <v>200</v>
      </c>
      <c r="I2123" t="str">
        <f>VLOOKUP(G2123,Kostenstellen!$A$1:$C$17,2,0)</f>
        <v>aqua</v>
      </c>
    </row>
    <row r="2124" spans="1:9" x14ac:dyDescent="0.2">
      <c r="A2124">
        <v>6855</v>
      </c>
      <c r="B2124" s="7">
        <v>45859</v>
      </c>
      <c r="C2124" t="s">
        <v>1930</v>
      </c>
      <c r="D2124" t="s">
        <v>352</v>
      </c>
      <c r="E2124">
        <v>10</v>
      </c>
      <c r="G2124">
        <v>200</v>
      </c>
      <c r="I2124" t="str">
        <f>VLOOKUP(G2124,Kostenstellen!$A$1:$C$17,2,0)</f>
        <v>aqua</v>
      </c>
    </row>
    <row r="2125" spans="1:9" x14ac:dyDescent="0.2">
      <c r="A2125">
        <v>6855</v>
      </c>
      <c r="B2125" s="7">
        <v>45859</v>
      </c>
      <c r="C2125" t="s">
        <v>1928</v>
      </c>
      <c r="D2125">
        <v>2025400173</v>
      </c>
      <c r="E2125">
        <v>5.28</v>
      </c>
      <c r="G2125">
        <v>200</v>
      </c>
      <c r="I2125" t="str">
        <f>VLOOKUP(G2125,Kostenstellen!$A$1:$C$17,2,0)</f>
        <v>aqua</v>
      </c>
    </row>
    <row r="2126" spans="1:9" x14ac:dyDescent="0.2">
      <c r="A2126">
        <v>6855</v>
      </c>
      <c r="B2126" s="7">
        <v>45862</v>
      </c>
      <c r="C2126" t="s">
        <v>1927</v>
      </c>
      <c r="D2126" t="s">
        <v>352</v>
      </c>
      <c r="E2126">
        <v>36.549999999999997</v>
      </c>
      <c r="G2126">
        <v>200</v>
      </c>
      <c r="I2126" t="str">
        <f>VLOOKUP(G2126,Kostenstellen!$A$1:$C$17,2,0)</f>
        <v>aqua</v>
      </c>
    </row>
    <row r="2127" spans="1:9" x14ac:dyDescent="0.2">
      <c r="A2127">
        <v>6855</v>
      </c>
      <c r="B2127" s="7">
        <v>45866</v>
      </c>
      <c r="C2127" t="s">
        <v>1928</v>
      </c>
      <c r="D2127" t="s">
        <v>352</v>
      </c>
      <c r="E2127">
        <v>38.159999999999997</v>
      </c>
      <c r="G2127">
        <v>200</v>
      </c>
      <c r="I2127" t="str">
        <f>VLOOKUP(G2127,Kostenstellen!$A$1:$C$17,2,0)</f>
        <v>aqua</v>
      </c>
    </row>
    <row r="2128" spans="1:9" x14ac:dyDescent="0.2">
      <c r="A2128">
        <v>6855</v>
      </c>
      <c r="B2128" s="7">
        <v>45869</v>
      </c>
      <c r="C2128" t="s">
        <v>1936</v>
      </c>
      <c r="D2128" t="s">
        <v>352</v>
      </c>
      <c r="E2128">
        <v>157.85</v>
      </c>
      <c r="G2128">
        <v>200</v>
      </c>
      <c r="I2128" t="str">
        <f>VLOOKUP(G2128,Kostenstellen!$A$1:$C$17,2,0)</f>
        <v>aqua</v>
      </c>
    </row>
    <row r="2129" spans="1:9" x14ac:dyDescent="0.2">
      <c r="A2129">
        <v>6855</v>
      </c>
      <c r="B2129" s="7">
        <v>45869</v>
      </c>
      <c r="C2129" t="s">
        <v>1931</v>
      </c>
      <c r="D2129" t="s">
        <v>352</v>
      </c>
      <c r="E2129">
        <v>12.8</v>
      </c>
      <c r="G2129">
        <v>200</v>
      </c>
      <c r="I2129" t="str">
        <f>VLOOKUP(G2129,Kostenstellen!$A$1:$C$17,2,0)</f>
        <v>aqua</v>
      </c>
    </row>
    <row r="2130" spans="1:9" x14ac:dyDescent="0.2">
      <c r="A2130">
        <v>6855</v>
      </c>
      <c r="B2130" s="7">
        <v>45870</v>
      </c>
      <c r="C2130" t="s">
        <v>1930</v>
      </c>
      <c r="D2130" t="s">
        <v>352</v>
      </c>
      <c r="E2130">
        <v>28.45</v>
      </c>
      <c r="G2130">
        <v>200</v>
      </c>
      <c r="I2130" t="str">
        <f>VLOOKUP(G2130,Kostenstellen!$A$1:$C$17,2,0)</f>
        <v>aqua</v>
      </c>
    </row>
    <row r="2131" spans="1:9" x14ac:dyDescent="0.2">
      <c r="A2131">
        <v>6855</v>
      </c>
      <c r="B2131" s="7">
        <v>45870</v>
      </c>
      <c r="C2131" t="s">
        <v>1933</v>
      </c>
      <c r="D2131" t="s">
        <v>352</v>
      </c>
      <c r="E2131">
        <v>53</v>
      </c>
      <c r="G2131">
        <v>200</v>
      </c>
      <c r="I2131" t="str">
        <f>VLOOKUP(G2131,Kostenstellen!$A$1:$C$17,2,0)</f>
        <v>aqua</v>
      </c>
    </row>
    <row r="2132" spans="1:9" x14ac:dyDescent="0.2">
      <c r="A2132">
        <v>6855</v>
      </c>
      <c r="B2132" s="7">
        <v>45870</v>
      </c>
      <c r="C2132" t="s">
        <v>1925</v>
      </c>
      <c r="D2132" t="s">
        <v>352</v>
      </c>
      <c r="E2132">
        <v>31.57</v>
      </c>
      <c r="G2132">
        <v>200</v>
      </c>
      <c r="I2132" t="str">
        <f>VLOOKUP(G2132,Kostenstellen!$A$1:$C$17,2,0)</f>
        <v>aqua</v>
      </c>
    </row>
    <row r="2133" spans="1:9" x14ac:dyDescent="0.2">
      <c r="A2133">
        <v>6855</v>
      </c>
      <c r="B2133" s="7">
        <v>45873</v>
      </c>
      <c r="C2133" t="s">
        <v>1927</v>
      </c>
      <c r="D2133" t="s">
        <v>352</v>
      </c>
      <c r="E2133">
        <v>36.549999999999997</v>
      </c>
      <c r="G2133">
        <v>200</v>
      </c>
      <c r="I2133" t="str">
        <f>VLOOKUP(G2133,Kostenstellen!$A$1:$C$17,2,0)</f>
        <v>aqua</v>
      </c>
    </row>
    <row r="2134" spans="1:9" x14ac:dyDescent="0.2">
      <c r="A2134">
        <v>6855</v>
      </c>
      <c r="B2134" s="7">
        <v>45873</v>
      </c>
      <c r="C2134" t="s">
        <v>1927</v>
      </c>
      <c r="D2134" t="s">
        <v>352</v>
      </c>
      <c r="E2134">
        <v>36.549999999999997</v>
      </c>
      <c r="G2134">
        <v>200</v>
      </c>
      <c r="I2134" t="str">
        <f>VLOOKUP(G2134,Kostenstellen!$A$1:$C$17,2,0)</f>
        <v>aqua</v>
      </c>
    </row>
    <row r="2135" spans="1:9" x14ac:dyDescent="0.2">
      <c r="A2135">
        <v>6855</v>
      </c>
      <c r="B2135" s="7">
        <v>45873</v>
      </c>
      <c r="C2135" t="s">
        <v>1927</v>
      </c>
      <c r="D2135" t="s">
        <v>352</v>
      </c>
      <c r="E2135">
        <v>36.549999999999997</v>
      </c>
      <c r="G2135">
        <v>200</v>
      </c>
      <c r="I2135" t="str">
        <f>VLOOKUP(G2135,Kostenstellen!$A$1:$C$17,2,0)</f>
        <v>aqua</v>
      </c>
    </row>
    <row r="2136" spans="1:9" x14ac:dyDescent="0.2">
      <c r="A2136">
        <v>6855</v>
      </c>
      <c r="B2136" s="7">
        <v>45873</v>
      </c>
      <c r="C2136" t="s">
        <v>1927</v>
      </c>
      <c r="D2136" t="s">
        <v>352</v>
      </c>
      <c r="E2136">
        <v>30</v>
      </c>
      <c r="G2136">
        <v>200</v>
      </c>
      <c r="I2136" t="str">
        <f>VLOOKUP(G2136,Kostenstellen!$A$1:$C$17,2,0)</f>
        <v>aqua</v>
      </c>
    </row>
    <row r="2137" spans="1:9" x14ac:dyDescent="0.2">
      <c r="A2137">
        <v>6855</v>
      </c>
      <c r="B2137" s="7">
        <v>45873</v>
      </c>
      <c r="C2137" t="s">
        <v>1928</v>
      </c>
      <c r="D2137">
        <v>2025400185</v>
      </c>
      <c r="E2137">
        <v>3.22</v>
      </c>
      <c r="G2137">
        <v>200</v>
      </c>
      <c r="I2137" t="str">
        <f>VLOOKUP(G2137,Kostenstellen!$A$1:$C$17,2,0)</f>
        <v>aqua</v>
      </c>
    </row>
    <row r="2138" spans="1:9" x14ac:dyDescent="0.2">
      <c r="A2138">
        <v>6855</v>
      </c>
      <c r="B2138" s="7">
        <v>45873</v>
      </c>
      <c r="C2138" t="s">
        <v>1927</v>
      </c>
      <c r="D2138" t="s">
        <v>1640</v>
      </c>
      <c r="E2138">
        <v>36.549999999999997</v>
      </c>
      <c r="G2138">
        <v>200</v>
      </c>
      <c r="I2138" t="str">
        <f>VLOOKUP(G2138,Kostenstellen!$A$1:$C$17,2,0)</f>
        <v>aqua</v>
      </c>
    </row>
    <row r="2139" spans="1:9" x14ac:dyDescent="0.2">
      <c r="A2139">
        <v>6855</v>
      </c>
      <c r="B2139" s="7">
        <v>45873</v>
      </c>
      <c r="C2139" t="s">
        <v>1927</v>
      </c>
      <c r="D2139" t="s">
        <v>194</v>
      </c>
      <c r="E2139">
        <v>36.549999999999997</v>
      </c>
      <c r="G2139">
        <v>200</v>
      </c>
      <c r="I2139" t="str">
        <f>VLOOKUP(G2139,Kostenstellen!$A$1:$C$17,2,0)</f>
        <v>aqua</v>
      </c>
    </row>
    <row r="2140" spans="1:9" x14ac:dyDescent="0.2">
      <c r="A2140">
        <v>6855</v>
      </c>
      <c r="B2140" s="7">
        <v>45873</v>
      </c>
      <c r="C2140" t="s">
        <v>1927</v>
      </c>
      <c r="D2140" t="s">
        <v>1642</v>
      </c>
      <c r="E2140">
        <v>39.299999999999997</v>
      </c>
      <c r="G2140">
        <v>200</v>
      </c>
      <c r="I2140" t="str">
        <f>VLOOKUP(G2140,Kostenstellen!$A$1:$C$17,2,0)</f>
        <v>aqua</v>
      </c>
    </row>
    <row r="2141" spans="1:9" x14ac:dyDescent="0.2">
      <c r="A2141">
        <v>6855</v>
      </c>
      <c r="B2141" s="7">
        <v>45873</v>
      </c>
      <c r="C2141" t="s">
        <v>201</v>
      </c>
      <c r="D2141" t="s">
        <v>202</v>
      </c>
      <c r="E2141">
        <v>36.549999999999997</v>
      </c>
      <c r="G2141">
        <v>200</v>
      </c>
      <c r="I2141" t="str">
        <f>VLOOKUP(G2141,Kostenstellen!$A$1:$C$17,2,0)</f>
        <v>aqua</v>
      </c>
    </row>
    <row r="2142" spans="1:9" x14ac:dyDescent="0.2">
      <c r="A2142">
        <v>6855</v>
      </c>
      <c r="B2142" s="7">
        <v>45873</v>
      </c>
      <c r="C2142" t="s">
        <v>1927</v>
      </c>
      <c r="D2142" t="s">
        <v>1450</v>
      </c>
      <c r="E2142">
        <v>36.549999999999997</v>
      </c>
      <c r="G2142">
        <v>200</v>
      </c>
      <c r="I2142" t="str">
        <f>VLOOKUP(G2142,Kostenstellen!$A$1:$C$17,2,0)</f>
        <v>aqua</v>
      </c>
    </row>
    <row r="2143" spans="1:9" x14ac:dyDescent="0.2">
      <c r="A2143">
        <v>6855</v>
      </c>
      <c r="B2143" s="7">
        <v>45880</v>
      </c>
      <c r="C2143" t="s">
        <v>1928</v>
      </c>
      <c r="D2143">
        <v>2025400188</v>
      </c>
      <c r="E2143">
        <v>31.38</v>
      </c>
      <c r="G2143">
        <v>200</v>
      </c>
      <c r="I2143" t="str">
        <f>VLOOKUP(G2143,Kostenstellen!$A$1:$C$17,2,0)</f>
        <v>aqua</v>
      </c>
    </row>
    <row r="2144" spans="1:9" x14ac:dyDescent="0.2">
      <c r="A2144">
        <v>6855</v>
      </c>
      <c r="B2144" s="7">
        <v>45887</v>
      </c>
      <c r="C2144" t="s">
        <v>1928</v>
      </c>
      <c r="D2144">
        <v>2025400193</v>
      </c>
      <c r="E2144">
        <v>7.24</v>
      </c>
      <c r="G2144">
        <v>200</v>
      </c>
      <c r="I2144" t="str">
        <f>VLOOKUP(G2144,Kostenstellen!$A$1:$C$17,2,0)</f>
        <v>aqua</v>
      </c>
    </row>
    <row r="2145" spans="1:9" x14ac:dyDescent="0.2">
      <c r="A2145">
        <v>6855</v>
      </c>
      <c r="B2145" s="7">
        <v>45888</v>
      </c>
      <c r="C2145" t="s">
        <v>1938</v>
      </c>
      <c r="D2145" t="s">
        <v>352</v>
      </c>
      <c r="E2145">
        <v>10</v>
      </c>
      <c r="G2145">
        <v>200</v>
      </c>
      <c r="I2145" t="str">
        <f>VLOOKUP(G2145,Kostenstellen!$A$1:$C$17,2,0)</f>
        <v>aqua</v>
      </c>
    </row>
    <row r="2146" spans="1:9" x14ac:dyDescent="0.2">
      <c r="A2146">
        <v>6855</v>
      </c>
      <c r="B2146" s="7">
        <v>45894</v>
      </c>
      <c r="C2146" t="s">
        <v>1928</v>
      </c>
      <c r="D2146">
        <v>2025400196</v>
      </c>
      <c r="E2146">
        <v>11.66</v>
      </c>
      <c r="G2146">
        <v>200</v>
      </c>
      <c r="I2146" t="str">
        <f>VLOOKUP(G2146,Kostenstellen!$A$1:$C$17,2,0)</f>
        <v>aqua</v>
      </c>
    </row>
    <row r="2147" spans="1:9" x14ac:dyDescent="0.2">
      <c r="A2147">
        <v>6855</v>
      </c>
      <c r="B2147" s="7">
        <v>45897</v>
      </c>
      <c r="C2147" t="s">
        <v>1927</v>
      </c>
      <c r="D2147" t="s">
        <v>352</v>
      </c>
      <c r="E2147">
        <v>36.549999999999997</v>
      </c>
      <c r="G2147">
        <v>200</v>
      </c>
      <c r="I2147" t="str">
        <f>VLOOKUP(G2147,Kostenstellen!$A$1:$C$17,2,0)</f>
        <v>aqua</v>
      </c>
    </row>
    <row r="2148" spans="1:9" x14ac:dyDescent="0.2">
      <c r="A2148">
        <v>6855</v>
      </c>
      <c r="B2148" s="7">
        <v>45898</v>
      </c>
      <c r="C2148" t="s">
        <v>1936</v>
      </c>
      <c r="D2148" t="s">
        <v>352</v>
      </c>
      <c r="E2148">
        <v>157.85</v>
      </c>
      <c r="G2148">
        <v>200</v>
      </c>
      <c r="I2148" t="str">
        <f>VLOOKUP(G2148,Kostenstellen!$A$1:$C$17,2,0)</f>
        <v>aqua</v>
      </c>
    </row>
    <row r="2149" spans="1:9" x14ac:dyDescent="0.2">
      <c r="A2149">
        <v>6855</v>
      </c>
      <c r="B2149" s="7">
        <v>45898</v>
      </c>
      <c r="C2149" t="s">
        <v>1931</v>
      </c>
      <c r="D2149" t="s">
        <v>352</v>
      </c>
      <c r="E2149">
        <v>12.8</v>
      </c>
      <c r="G2149">
        <v>200</v>
      </c>
      <c r="I2149" t="str">
        <f>VLOOKUP(G2149,Kostenstellen!$A$1:$C$17,2,0)</f>
        <v>aqua</v>
      </c>
    </row>
    <row r="2150" spans="1:9" x14ac:dyDescent="0.2">
      <c r="A2150">
        <v>6855</v>
      </c>
      <c r="B2150" s="7">
        <v>45898</v>
      </c>
      <c r="C2150" t="s">
        <v>1944</v>
      </c>
      <c r="D2150">
        <v>2025400187</v>
      </c>
      <c r="E2150">
        <v>0.3</v>
      </c>
      <c r="G2150">
        <v>200</v>
      </c>
      <c r="I2150" t="str">
        <f>VLOOKUP(G2150,Kostenstellen!$A$1:$C$17,2,0)</f>
        <v>aqua</v>
      </c>
    </row>
    <row r="2151" spans="1:9" x14ac:dyDescent="0.2">
      <c r="A2151">
        <v>6855</v>
      </c>
      <c r="B2151" s="7">
        <v>45901</v>
      </c>
      <c r="C2151" t="s">
        <v>1930</v>
      </c>
      <c r="D2151" t="s">
        <v>352</v>
      </c>
      <c r="E2151">
        <v>28.6</v>
      </c>
      <c r="G2151">
        <v>200</v>
      </c>
      <c r="I2151" t="str">
        <f>VLOOKUP(G2151,Kostenstellen!$A$1:$C$17,2,0)</f>
        <v>aqua</v>
      </c>
    </row>
    <row r="2152" spans="1:9" x14ac:dyDescent="0.2">
      <c r="A2152">
        <v>6855</v>
      </c>
      <c r="B2152" s="7">
        <v>45901</v>
      </c>
      <c r="C2152" t="s">
        <v>1936</v>
      </c>
      <c r="D2152" t="s">
        <v>352</v>
      </c>
      <c r="E2152">
        <v>53</v>
      </c>
      <c r="G2152">
        <v>200</v>
      </c>
      <c r="I2152" t="str">
        <f>VLOOKUP(G2152,Kostenstellen!$A$1:$C$17,2,0)</f>
        <v>aqua</v>
      </c>
    </row>
    <row r="2153" spans="1:9" x14ac:dyDescent="0.2">
      <c r="A2153">
        <v>6855</v>
      </c>
      <c r="B2153" s="7">
        <v>45901</v>
      </c>
      <c r="C2153" t="s">
        <v>1925</v>
      </c>
      <c r="D2153" t="s">
        <v>352</v>
      </c>
      <c r="E2153">
        <v>29.67</v>
      </c>
      <c r="G2153">
        <v>200</v>
      </c>
      <c r="I2153" t="str">
        <f>VLOOKUP(G2153,Kostenstellen!$A$1:$C$17,2,0)</f>
        <v>aqua</v>
      </c>
    </row>
    <row r="2154" spans="1:9" x14ac:dyDescent="0.2">
      <c r="A2154">
        <v>6855</v>
      </c>
      <c r="B2154" s="7">
        <v>45902</v>
      </c>
      <c r="C2154" t="s">
        <v>1927</v>
      </c>
      <c r="D2154" t="s">
        <v>352</v>
      </c>
      <c r="E2154">
        <v>36.549999999999997</v>
      </c>
      <c r="G2154">
        <v>200</v>
      </c>
      <c r="I2154" t="str">
        <f>VLOOKUP(G2154,Kostenstellen!$A$1:$C$17,2,0)</f>
        <v>aqua</v>
      </c>
    </row>
    <row r="2155" spans="1:9" x14ac:dyDescent="0.2">
      <c r="A2155">
        <v>6855</v>
      </c>
      <c r="B2155" s="7">
        <v>45902</v>
      </c>
      <c r="C2155" t="s">
        <v>1927</v>
      </c>
      <c r="D2155" t="s">
        <v>352</v>
      </c>
      <c r="E2155">
        <v>36.549999999999997</v>
      </c>
      <c r="G2155">
        <v>200</v>
      </c>
      <c r="I2155" t="str">
        <f>VLOOKUP(G2155,Kostenstellen!$A$1:$C$17,2,0)</f>
        <v>aqua</v>
      </c>
    </row>
    <row r="2156" spans="1:9" x14ac:dyDescent="0.2">
      <c r="A2156">
        <v>6855</v>
      </c>
      <c r="B2156" s="7">
        <v>45902</v>
      </c>
      <c r="C2156" t="s">
        <v>1927</v>
      </c>
      <c r="D2156" t="s">
        <v>352</v>
      </c>
      <c r="E2156">
        <v>36.549999999999997</v>
      </c>
      <c r="G2156">
        <v>200</v>
      </c>
      <c r="I2156" t="str">
        <f>VLOOKUP(G2156,Kostenstellen!$A$1:$C$17,2,0)</f>
        <v>aqua</v>
      </c>
    </row>
    <row r="2157" spans="1:9" x14ac:dyDescent="0.2">
      <c r="A2157">
        <v>6855</v>
      </c>
      <c r="B2157" s="7">
        <v>45902</v>
      </c>
      <c r="C2157" t="s">
        <v>1927</v>
      </c>
      <c r="D2157" t="s">
        <v>352</v>
      </c>
      <c r="E2157">
        <v>36.549999999999997</v>
      </c>
      <c r="G2157">
        <v>200</v>
      </c>
      <c r="I2157" t="str">
        <f>VLOOKUP(G2157,Kostenstellen!$A$1:$C$17,2,0)</f>
        <v>aqua</v>
      </c>
    </row>
    <row r="2158" spans="1:9" x14ac:dyDescent="0.2">
      <c r="A2158">
        <v>6855</v>
      </c>
      <c r="B2158" s="7">
        <v>45902</v>
      </c>
      <c r="C2158" t="s">
        <v>1927</v>
      </c>
      <c r="D2158" t="s">
        <v>352</v>
      </c>
      <c r="E2158">
        <v>36.549999999999997</v>
      </c>
      <c r="G2158">
        <v>200</v>
      </c>
      <c r="I2158" t="str">
        <f>VLOOKUP(G2158,Kostenstellen!$A$1:$C$17,2,0)</f>
        <v>aqua</v>
      </c>
    </row>
    <row r="2159" spans="1:9" x14ac:dyDescent="0.2">
      <c r="A2159">
        <v>6855</v>
      </c>
      <c r="B2159" s="7">
        <v>45902</v>
      </c>
      <c r="C2159" t="s">
        <v>1927</v>
      </c>
      <c r="D2159" t="s">
        <v>352</v>
      </c>
      <c r="E2159">
        <v>36.549999999999997</v>
      </c>
      <c r="G2159">
        <v>200</v>
      </c>
      <c r="I2159" t="str">
        <f>VLOOKUP(G2159,Kostenstellen!$A$1:$C$17,2,0)</f>
        <v>aqua</v>
      </c>
    </row>
    <row r="2160" spans="1:9" x14ac:dyDescent="0.2">
      <c r="A2160">
        <v>6855</v>
      </c>
      <c r="B2160" s="7">
        <v>45902</v>
      </c>
      <c r="C2160" t="s">
        <v>1927</v>
      </c>
      <c r="D2160" t="s">
        <v>352</v>
      </c>
      <c r="E2160">
        <v>36.549999999999997</v>
      </c>
      <c r="G2160">
        <v>200</v>
      </c>
      <c r="I2160" t="str">
        <f>VLOOKUP(G2160,Kostenstellen!$A$1:$C$17,2,0)</f>
        <v>aqua</v>
      </c>
    </row>
    <row r="2161" spans="1:9" x14ac:dyDescent="0.2">
      <c r="A2161">
        <v>6855</v>
      </c>
      <c r="B2161" s="7">
        <v>45902</v>
      </c>
      <c r="C2161" t="s">
        <v>1927</v>
      </c>
      <c r="D2161" t="s">
        <v>352</v>
      </c>
      <c r="E2161">
        <v>36.549999999999997</v>
      </c>
      <c r="G2161">
        <v>200</v>
      </c>
      <c r="I2161" t="str">
        <f>VLOOKUP(G2161,Kostenstellen!$A$1:$C$17,2,0)</f>
        <v>aqua</v>
      </c>
    </row>
    <row r="2162" spans="1:9" x14ac:dyDescent="0.2">
      <c r="A2162">
        <v>6855</v>
      </c>
      <c r="B2162" s="7">
        <v>45902</v>
      </c>
      <c r="C2162" t="s">
        <v>1927</v>
      </c>
      <c r="D2162" t="s">
        <v>352</v>
      </c>
      <c r="E2162">
        <v>39.299999999999997</v>
      </c>
      <c r="G2162">
        <v>200</v>
      </c>
      <c r="I2162" t="str">
        <f>VLOOKUP(G2162,Kostenstellen!$A$1:$C$17,2,0)</f>
        <v>aqua</v>
      </c>
    </row>
    <row r="2163" spans="1:9" x14ac:dyDescent="0.2">
      <c r="A2163">
        <v>6855</v>
      </c>
      <c r="B2163" s="7">
        <v>45902</v>
      </c>
      <c r="C2163" t="s">
        <v>1927</v>
      </c>
      <c r="D2163" t="s">
        <v>352</v>
      </c>
      <c r="E2163">
        <v>30</v>
      </c>
      <c r="G2163">
        <v>200</v>
      </c>
      <c r="I2163" t="str">
        <f>VLOOKUP(G2163,Kostenstellen!$A$1:$C$17,2,0)</f>
        <v>aqua</v>
      </c>
    </row>
    <row r="2164" spans="1:9" x14ac:dyDescent="0.2">
      <c r="A2164">
        <v>6855</v>
      </c>
      <c r="B2164" s="7">
        <v>45908</v>
      </c>
      <c r="C2164" t="s">
        <v>1928</v>
      </c>
      <c r="D2164">
        <v>2025400217</v>
      </c>
      <c r="E2164">
        <v>3.26</v>
      </c>
      <c r="G2164">
        <v>200</v>
      </c>
      <c r="I2164" t="str">
        <f>VLOOKUP(G2164,Kostenstellen!$A$1:$C$17,2,0)</f>
        <v>aqua</v>
      </c>
    </row>
    <row r="2165" spans="1:9" x14ac:dyDescent="0.2">
      <c r="A2165">
        <v>6855</v>
      </c>
      <c r="B2165" s="7">
        <v>45915</v>
      </c>
      <c r="C2165" t="s">
        <v>1928</v>
      </c>
      <c r="D2165">
        <v>2025400221</v>
      </c>
      <c r="E2165">
        <v>15.91</v>
      </c>
      <c r="G2165">
        <v>200</v>
      </c>
      <c r="I2165" t="str">
        <f>VLOOKUP(G2165,Kostenstellen!$A$1:$C$17,2,0)</f>
        <v>aqua</v>
      </c>
    </row>
    <row r="2166" spans="1:9" x14ac:dyDescent="0.2">
      <c r="A2166">
        <v>6855</v>
      </c>
      <c r="B2166" s="7">
        <v>45917</v>
      </c>
      <c r="C2166" t="s">
        <v>252</v>
      </c>
      <c r="D2166" t="s">
        <v>352</v>
      </c>
      <c r="E2166">
        <v>36.549999999999997</v>
      </c>
      <c r="G2166">
        <v>200</v>
      </c>
      <c r="I2166" t="str">
        <f>VLOOKUP(G2166,Kostenstellen!$A$1:$C$17,2,0)</f>
        <v>aqua</v>
      </c>
    </row>
    <row r="2167" spans="1:9" x14ac:dyDescent="0.2">
      <c r="A2167">
        <v>6855</v>
      </c>
      <c r="B2167" s="7">
        <v>45919</v>
      </c>
      <c r="C2167" t="s">
        <v>1938</v>
      </c>
      <c r="D2167" t="s">
        <v>352</v>
      </c>
      <c r="E2167">
        <v>10</v>
      </c>
      <c r="G2167">
        <v>200</v>
      </c>
      <c r="I2167" t="str">
        <f>VLOOKUP(G2167,Kostenstellen!$A$1:$C$17,2,0)</f>
        <v>aqua</v>
      </c>
    </row>
    <row r="2168" spans="1:9" x14ac:dyDescent="0.2">
      <c r="A2168">
        <v>6855</v>
      </c>
      <c r="B2168" s="7">
        <v>45919</v>
      </c>
      <c r="C2168" t="s">
        <v>1945</v>
      </c>
      <c r="D2168">
        <v>2025400181</v>
      </c>
      <c r="E2168">
        <v>10</v>
      </c>
      <c r="G2168">
        <v>200</v>
      </c>
      <c r="I2168" t="str">
        <f>VLOOKUP(G2168,Kostenstellen!$A$1:$C$17,2,0)</f>
        <v>aqua</v>
      </c>
    </row>
    <row r="2169" spans="1:9" x14ac:dyDescent="0.2">
      <c r="A2169">
        <v>6855</v>
      </c>
      <c r="B2169" s="7">
        <v>45922</v>
      </c>
      <c r="C2169" t="s">
        <v>1928</v>
      </c>
      <c r="D2169">
        <v>2025400233</v>
      </c>
      <c r="E2169">
        <v>11.7</v>
      </c>
      <c r="G2169">
        <v>200</v>
      </c>
      <c r="I2169" t="str">
        <f>VLOOKUP(G2169,Kostenstellen!$A$1:$C$17,2,0)</f>
        <v>aqua</v>
      </c>
    </row>
    <row r="2170" spans="1:9" x14ac:dyDescent="0.2">
      <c r="A2170">
        <v>6855</v>
      </c>
      <c r="B2170" s="7">
        <v>45925</v>
      </c>
      <c r="C2170" t="s">
        <v>1927</v>
      </c>
      <c r="D2170" t="s">
        <v>1568</v>
      </c>
      <c r="E2170">
        <v>36.549999999999997</v>
      </c>
      <c r="G2170">
        <v>200</v>
      </c>
      <c r="I2170" t="str">
        <f>VLOOKUP(G2170,Kostenstellen!$A$1:$C$17,2,0)</f>
        <v>aqua</v>
      </c>
    </row>
    <row r="2171" spans="1:9" x14ac:dyDescent="0.2">
      <c r="A2171">
        <v>6855</v>
      </c>
      <c r="B2171" s="7">
        <v>45926</v>
      </c>
      <c r="C2171" t="s">
        <v>1946</v>
      </c>
      <c r="D2171">
        <v>2025400190</v>
      </c>
      <c r="E2171">
        <v>10</v>
      </c>
      <c r="G2171">
        <v>200</v>
      </c>
      <c r="I2171" t="str">
        <f>VLOOKUP(G2171,Kostenstellen!$A$1:$C$17,2,0)</f>
        <v>aqua</v>
      </c>
    </row>
    <row r="2172" spans="1:9" x14ac:dyDescent="0.2">
      <c r="A2172">
        <v>6855</v>
      </c>
      <c r="B2172" s="7">
        <v>45926</v>
      </c>
      <c r="C2172" t="s">
        <v>1947</v>
      </c>
      <c r="D2172">
        <v>2025400209</v>
      </c>
      <c r="E2172">
        <v>25</v>
      </c>
      <c r="G2172">
        <v>200</v>
      </c>
      <c r="I2172" t="str">
        <f>VLOOKUP(G2172,Kostenstellen!$A$1:$C$17,2,0)</f>
        <v>aqua</v>
      </c>
    </row>
    <row r="2173" spans="1:9" x14ac:dyDescent="0.2">
      <c r="A2173">
        <v>6855</v>
      </c>
      <c r="B2173" s="7">
        <v>45930</v>
      </c>
      <c r="C2173" t="s">
        <v>1936</v>
      </c>
      <c r="D2173" t="s">
        <v>352</v>
      </c>
      <c r="E2173">
        <v>157.85</v>
      </c>
      <c r="G2173">
        <v>200</v>
      </c>
      <c r="I2173" t="str">
        <f>VLOOKUP(G2173,Kostenstellen!$A$1:$C$17,2,0)</f>
        <v>aqua</v>
      </c>
    </row>
    <row r="2174" spans="1:9" x14ac:dyDescent="0.2">
      <c r="A2174">
        <v>6855</v>
      </c>
      <c r="B2174" s="7">
        <v>45930</v>
      </c>
      <c r="C2174" t="s">
        <v>1931</v>
      </c>
      <c r="D2174" t="s">
        <v>352</v>
      </c>
      <c r="E2174">
        <v>15.23</v>
      </c>
      <c r="G2174">
        <v>200</v>
      </c>
      <c r="I2174" t="str">
        <f>VLOOKUP(G2174,Kostenstellen!$A$1:$C$17,2,0)</f>
        <v>aqua</v>
      </c>
    </row>
    <row r="2175" spans="1:9" x14ac:dyDescent="0.2">
      <c r="A2175">
        <v>6855</v>
      </c>
      <c r="B2175" s="7">
        <v>45931</v>
      </c>
      <c r="C2175" t="s">
        <v>1930</v>
      </c>
      <c r="D2175" t="s">
        <v>352</v>
      </c>
      <c r="E2175">
        <v>28.45</v>
      </c>
      <c r="G2175">
        <v>200</v>
      </c>
      <c r="I2175" t="str">
        <f>VLOOKUP(G2175,Kostenstellen!$A$1:$C$17,2,0)</f>
        <v>aqua</v>
      </c>
    </row>
    <row r="2176" spans="1:9" x14ac:dyDescent="0.2">
      <c r="A2176">
        <v>6855</v>
      </c>
      <c r="B2176" s="7">
        <v>45931</v>
      </c>
      <c r="C2176" t="s">
        <v>1936</v>
      </c>
      <c r="D2176" t="s">
        <v>352</v>
      </c>
      <c r="E2176">
        <v>53</v>
      </c>
      <c r="G2176">
        <v>200</v>
      </c>
      <c r="I2176" t="str">
        <f>VLOOKUP(G2176,Kostenstellen!$A$1:$C$17,2,0)</f>
        <v>aqua</v>
      </c>
    </row>
    <row r="2177" spans="1:9" x14ac:dyDescent="0.2">
      <c r="A2177">
        <v>6855</v>
      </c>
      <c r="B2177" s="7">
        <v>45931</v>
      </c>
      <c r="C2177" t="s">
        <v>1925</v>
      </c>
      <c r="D2177" t="s">
        <v>352</v>
      </c>
      <c r="E2177">
        <v>35.17</v>
      </c>
      <c r="G2177">
        <v>200</v>
      </c>
      <c r="I2177" t="str">
        <f>VLOOKUP(G2177,Kostenstellen!$A$1:$C$17,2,0)</f>
        <v>aqua</v>
      </c>
    </row>
    <row r="2178" spans="1:9" x14ac:dyDescent="0.2">
      <c r="A2178">
        <v>6855</v>
      </c>
      <c r="B2178" s="7">
        <v>45936</v>
      </c>
      <c r="C2178" t="s">
        <v>1927</v>
      </c>
      <c r="D2178" t="s">
        <v>352</v>
      </c>
      <c r="E2178">
        <v>36.549999999999997</v>
      </c>
      <c r="G2178">
        <v>200</v>
      </c>
      <c r="I2178" t="str">
        <f>VLOOKUP(G2178,Kostenstellen!$A$1:$C$17,2,0)</f>
        <v>aqua</v>
      </c>
    </row>
    <row r="2179" spans="1:9" x14ac:dyDescent="0.2">
      <c r="A2179">
        <v>6855</v>
      </c>
      <c r="B2179" s="7">
        <v>45936</v>
      </c>
      <c r="C2179" t="s">
        <v>1927</v>
      </c>
      <c r="D2179" t="s">
        <v>352</v>
      </c>
      <c r="E2179">
        <v>36.549999999999997</v>
      </c>
      <c r="G2179">
        <v>200</v>
      </c>
      <c r="I2179" t="str">
        <f>VLOOKUP(G2179,Kostenstellen!$A$1:$C$17,2,0)</f>
        <v>aqua</v>
      </c>
    </row>
    <row r="2180" spans="1:9" x14ac:dyDescent="0.2">
      <c r="A2180">
        <v>6855</v>
      </c>
      <c r="B2180" s="7">
        <v>45936</v>
      </c>
      <c r="C2180" t="s">
        <v>1927</v>
      </c>
      <c r="D2180" t="s">
        <v>352</v>
      </c>
      <c r="E2180">
        <v>36.549999999999997</v>
      </c>
      <c r="G2180">
        <v>200</v>
      </c>
      <c r="I2180" t="str">
        <f>VLOOKUP(G2180,Kostenstellen!$A$1:$C$17,2,0)</f>
        <v>aqua</v>
      </c>
    </row>
    <row r="2181" spans="1:9" x14ac:dyDescent="0.2">
      <c r="A2181">
        <v>6855</v>
      </c>
      <c r="B2181" s="7">
        <v>45936</v>
      </c>
      <c r="C2181" t="s">
        <v>1927</v>
      </c>
      <c r="D2181" t="s">
        <v>352</v>
      </c>
      <c r="E2181">
        <v>36.549999999999997</v>
      </c>
      <c r="G2181">
        <v>200</v>
      </c>
      <c r="I2181" t="str">
        <f>VLOOKUP(G2181,Kostenstellen!$A$1:$C$17,2,0)</f>
        <v>aqua</v>
      </c>
    </row>
    <row r="2182" spans="1:9" x14ac:dyDescent="0.2">
      <c r="A2182">
        <v>6855</v>
      </c>
      <c r="B2182" s="7">
        <v>45936</v>
      </c>
      <c r="C2182" t="s">
        <v>1927</v>
      </c>
      <c r="D2182" t="s">
        <v>352</v>
      </c>
      <c r="E2182">
        <v>36.549999999999997</v>
      </c>
      <c r="G2182">
        <v>200</v>
      </c>
      <c r="I2182" t="str">
        <f>VLOOKUP(G2182,Kostenstellen!$A$1:$C$17,2,0)</f>
        <v>aqua</v>
      </c>
    </row>
    <row r="2183" spans="1:9" x14ac:dyDescent="0.2">
      <c r="A2183">
        <v>6855</v>
      </c>
      <c r="B2183" s="7">
        <v>45936</v>
      </c>
      <c r="C2183" t="s">
        <v>1927</v>
      </c>
      <c r="D2183" t="s">
        <v>352</v>
      </c>
      <c r="E2183">
        <v>36.549999999999997</v>
      </c>
      <c r="G2183">
        <v>200</v>
      </c>
      <c r="I2183" t="str">
        <f>VLOOKUP(G2183,Kostenstellen!$A$1:$C$17,2,0)</f>
        <v>aqua</v>
      </c>
    </row>
    <row r="2184" spans="1:9" x14ac:dyDescent="0.2">
      <c r="A2184">
        <v>6855</v>
      </c>
      <c r="B2184" s="7">
        <v>45936</v>
      </c>
      <c r="D2184" t="s">
        <v>352</v>
      </c>
      <c r="E2184">
        <v>39.299999999999997</v>
      </c>
      <c r="G2184">
        <v>200</v>
      </c>
      <c r="I2184" t="str">
        <f>VLOOKUP(G2184,Kostenstellen!$A$1:$C$17,2,0)</f>
        <v>aqua</v>
      </c>
    </row>
    <row r="2185" spans="1:9" x14ac:dyDescent="0.2">
      <c r="A2185">
        <v>6855</v>
      </c>
      <c r="B2185" s="7">
        <v>45936</v>
      </c>
      <c r="C2185" t="s">
        <v>1948</v>
      </c>
      <c r="D2185" t="s">
        <v>352</v>
      </c>
      <c r="E2185">
        <v>30</v>
      </c>
      <c r="G2185">
        <v>200</v>
      </c>
      <c r="I2185" t="str">
        <f>VLOOKUP(G2185,Kostenstellen!$A$1:$C$17,2,0)</f>
        <v>aqua</v>
      </c>
    </row>
    <row r="2186" spans="1:9" x14ac:dyDescent="0.2">
      <c r="A2186">
        <v>6855</v>
      </c>
      <c r="B2186" s="7">
        <v>45936</v>
      </c>
      <c r="C2186" t="s">
        <v>1941</v>
      </c>
      <c r="D2186">
        <v>2025400245</v>
      </c>
      <c r="E2186">
        <v>3.22</v>
      </c>
      <c r="G2186">
        <v>200</v>
      </c>
      <c r="I2186" t="str">
        <f>VLOOKUP(G2186,Kostenstellen!$A$1:$C$17,2,0)</f>
        <v>aqua</v>
      </c>
    </row>
    <row r="2187" spans="1:9" x14ac:dyDescent="0.2">
      <c r="A2187">
        <v>6855</v>
      </c>
      <c r="B2187" s="7">
        <v>45936</v>
      </c>
      <c r="C2187" t="s">
        <v>1949</v>
      </c>
      <c r="D2187" t="s">
        <v>279</v>
      </c>
      <c r="E2187">
        <v>0.32</v>
      </c>
      <c r="G2187">
        <v>200</v>
      </c>
      <c r="I2187" t="str">
        <f>VLOOKUP(G2187,Kostenstellen!$A$1:$C$17,2,0)</f>
        <v>aqua</v>
      </c>
    </row>
    <row r="2188" spans="1:9" x14ac:dyDescent="0.2">
      <c r="A2188">
        <v>6855</v>
      </c>
      <c r="B2188" s="7">
        <v>45939</v>
      </c>
      <c r="C2188" t="s">
        <v>1948</v>
      </c>
      <c r="D2188" t="s">
        <v>352</v>
      </c>
      <c r="E2188">
        <v>36.549999999999997</v>
      </c>
      <c r="G2188">
        <v>200</v>
      </c>
      <c r="I2188" t="str">
        <f>VLOOKUP(G2188,Kostenstellen!$A$1:$C$17,2,0)</f>
        <v>aqua</v>
      </c>
    </row>
    <row r="2189" spans="1:9" x14ac:dyDescent="0.2">
      <c r="A2189">
        <v>6855</v>
      </c>
      <c r="B2189" s="7">
        <v>45943</v>
      </c>
      <c r="C2189" t="s">
        <v>1928</v>
      </c>
      <c r="D2189">
        <v>2025400255</v>
      </c>
      <c r="E2189">
        <v>15.95</v>
      </c>
      <c r="G2189">
        <v>200</v>
      </c>
      <c r="I2189" t="str">
        <f>VLOOKUP(G2189,Kostenstellen!$A$1:$C$17,2,0)</f>
        <v>aqua</v>
      </c>
    </row>
    <row r="2190" spans="1:9" x14ac:dyDescent="0.2">
      <c r="A2190">
        <v>6855</v>
      </c>
      <c r="B2190" s="7">
        <v>45950</v>
      </c>
      <c r="C2190" t="s">
        <v>1930</v>
      </c>
      <c r="D2190" t="s">
        <v>352</v>
      </c>
      <c r="E2190">
        <v>10</v>
      </c>
      <c r="G2190">
        <v>200</v>
      </c>
      <c r="I2190" t="str">
        <f>VLOOKUP(G2190,Kostenstellen!$A$1:$C$17,2,0)</f>
        <v>aqua</v>
      </c>
    </row>
    <row r="2191" spans="1:9" x14ac:dyDescent="0.2">
      <c r="A2191">
        <v>6855</v>
      </c>
      <c r="B2191" s="7">
        <v>45951</v>
      </c>
      <c r="C2191" t="s">
        <v>1927</v>
      </c>
      <c r="D2191" t="s">
        <v>352</v>
      </c>
      <c r="E2191">
        <v>36.549999999999997</v>
      </c>
      <c r="G2191">
        <v>200</v>
      </c>
      <c r="I2191" t="str">
        <f>VLOOKUP(G2191,Kostenstellen!$A$1:$C$17,2,0)</f>
        <v>aqua</v>
      </c>
    </row>
    <row r="2192" spans="1:9" x14ac:dyDescent="0.2">
      <c r="A2192">
        <v>6855</v>
      </c>
      <c r="B2192" s="7">
        <v>45957</v>
      </c>
      <c r="C2192" t="s">
        <v>1928</v>
      </c>
      <c r="D2192">
        <v>2025400262</v>
      </c>
      <c r="E2192">
        <v>11.72</v>
      </c>
      <c r="G2192">
        <v>200</v>
      </c>
      <c r="I2192" t="str">
        <f>VLOOKUP(G2192,Kostenstellen!$A$1:$C$17,2,0)</f>
        <v>aqua</v>
      </c>
    </row>
    <row r="2193" spans="1:9" x14ac:dyDescent="0.2">
      <c r="A2193">
        <v>6855</v>
      </c>
      <c r="B2193" s="7">
        <v>45961</v>
      </c>
      <c r="C2193" t="s">
        <v>1933</v>
      </c>
      <c r="D2193" t="s">
        <v>352</v>
      </c>
      <c r="E2193">
        <v>157.85</v>
      </c>
      <c r="G2193">
        <v>200</v>
      </c>
      <c r="I2193" t="str">
        <f>VLOOKUP(G2193,Kostenstellen!$A$1:$C$17,2,0)</f>
        <v>aqua</v>
      </c>
    </row>
    <row r="2194" spans="1:9" x14ac:dyDescent="0.2">
      <c r="A2194">
        <v>6855</v>
      </c>
      <c r="B2194" s="7">
        <v>45961</v>
      </c>
      <c r="C2194" t="s">
        <v>1931</v>
      </c>
      <c r="D2194" t="s">
        <v>352</v>
      </c>
      <c r="E2194">
        <v>12.8</v>
      </c>
      <c r="G2194">
        <v>200</v>
      </c>
      <c r="I2194" t="str">
        <f>VLOOKUP(G2194,Kostenstellen!$A$1:$C$17,2,0)</f>
        <v>aqua</v>
      </c>
    </row>
    <row r="2195" spans="1:9" x14ac:dyDescent="0.2">
      <c r="A2195">
        <v>6855</v>
      </c>
      <c r="B2195" s="7">
        <v>45964</v>
      </c>
      <c r="C2195" t="s">
        <v>1950</v>
      </c>
      <c r="D2195" t="s">
        <v>352</v>
      </c>
      <c r="E2195">
        <v>30</v>
      </c>
      <c r="G2195">
        <v>200</v>
      </c>
      <c r="I2195" t="str">
        <f>VLOOKUP(G2195,Kostenstellen!$A$1:$C$17,2,0)</f>
        <v>aqua</v>
      </c>
    </row>
    <row r="2196" spans="1:9" x14ac:dyDescent="0.2">
      <c r="A2196">
        <v>6855</v>
      </c>
      <c r="B2196" s="7">
        <v>45964</v>
      </c>
      <c r="C2196" t="s">
        <v>1951</v>
      </c>
      <c r="D2196" t="s">
        <v>352</v>
      </c>
      <c r="E2196">
        <v>30</v>
      </c>
      <c r="G2196">
        <v>200</v>
      </c>
      <c r="I2196" t="str">
        <f>VLOOKUP(G2196,Kostenstellen!$A$1:$C$17,2,0)</f>
        <v>aqua</v>
      </c>
    </row>
    <row r="2197" spans="1:9" x14ac:dyDescent="0.2">
      <c r="A2197">
        <v>6855</v>
      </c>
      <c r="B2197" s="7">
        <v>45964</v>
      </c>
      <c r="C2197" t="s">
        <v>1930</v>
      </c>
      <c r="D2197" t="s">
        <v>352</v>
      </c>
      <c r="E2197">
        <v>28.45</v>
      </c>
      <c r="G2197">
        <v>200</v>
      </c>
      <c r="I2197" t="str">
        <f>VLOOKUP(G2197,Kostenstellen!$A$1:$C$17,2,0)</f>
        <v>aqua</v>
      </c>
    </row>
    <row r="2198" spans="1:9" x14ac:dyDescent="0.2">
      <c r="A2198">
        <v>6855</v>
      </c>
      <c r="B2198" s="7">
        <v>45964</v>
      </c>
      <c r="C2198" t="s">
        <v>1936</v>
      </c>
      <c r="D2198" t="s">
        <v>352</v>
      </c>
      <c r="E2198">
        <v>53</v>
      </c>
      <c r="G2198">
        <v>200</v>
      </c>
      <c r="I2198" t="str">
        <f>VLOOKUP(G2198,Kostenstellen!$A$1:$C$17,2,0)</f>
        <v>aqua</v>
      </c>
    </row>
    <row r="2199" spans="1:9" x14ac:dyDescent="0.2">
      <c r="A2199">
        <v>6855</v>
      </c>
      <c r="B2199" s="7">
        <v>45964</v>
      </c>
      <c r="C2199" t="s">
        <v>1952</v>
      </c>
      <c r="D2199" t="s">
        <v>352</v>
      </c>
      <c r="E2199">
        <v>31.57</v>
      </c>
      <c r="G2199">
        <v>200</v>
      </c>
      <c r="I2199" t="str">
        <f>VLOOKUP(G2199,Kostenstellen!$A$1:$C$17,2,0)</f>
        <v>aqua</v>
      </c>
    </row>
    <row r="2200" spans="1:9" x14ac:dyDescent="0.2">
      <c r="A2200">
        <v>6855</v>
      </c>
      <c r="B2200" s="7">
        <v>45964</v>
      </c>
      <c r="C2200" t="s">
        <v>1928</v>
      </c>
      <c r="D2200">
        <v>2025400269</v>
      </c>
      <c r="E2200">
        <v>6.74</v>
      </c>
      <c r="G2200">
        <v>200</v>
      </c>
      <c r="I2200" t="str">
        <f>VLOOKUP(G2200,Kostenstellen!$A$1:$C$17,2,0)</f>
        <v>aqua</v>
      </c>
    </row>
    <row r="2201" spans="1:9" x14ac:dyDescent="0.2">
      <c r="A2201">
        <v>6855</v>
      </c>
      <c r="B2201" s="7">
        <v>45967</v>
      </c>
      <c r="C2201" t="s">
        <v>1927</v>
      </c>
      <c r="D2201" t="s">
        <v>352</v>
      </c>
      <c r="E2201">
        <v>36.549999999999997</v>
      </c>
      <c r="G2201">
        <v>200</v>
      </c>
      <c r="I2201" t="str">
        <f>VLOOKUP(G2201,Kostenstellen!$A$1:$C$17,2,0)</f>
        <v>aqua</v>
      </c>
    </row>
    <row r="2202" spans="1:9" x14ac:dyDescent="0.2">
      <c r="A2202">
        <v>6855</v>
      </c>
      <c r="B2202" s="7">
        <v>45967</v>
      </c>
      <c r="C2202" t="s">
        <v>1927</v>
      </c>
      <c r="D2202" t="s">
        <v>352</v>
      </c>
      <c r="E2202">
        <v>36.549999999999997</v>
      </c>
      <c r="G2202">
        <v>200</v>
      </c>
      <c r="I2202" t="str">
        <f>VLOOKUP(G2202,Kostenstellen!$A$1:$C$17,2,0)</f>
        <v>aqua</v>
      </c>
    </row>
    <row r="2203" spans="1:9" x14ac:dyDescent="0.2">
      <c r="A2203">
        <v>6855</v>
      </c>
      <c r="B2203" s="7">
        <v>45967</v>
      </c>
      <c r="C2203" t="s">
        <v>1927</v>
      </c>
      <c r="D2203" t="s">
        <v>352</v>
      </c>
      <c r="E2203">
        <v>36.549999999999997</v>
      </c>
      <c r="G2203">
        <v>200</v>
      </c>
      <c r="I2203" t="str">
        <f>VLOOKUP(G2203,Kostenstellen!$A$1:$C$17,2,0)</f>
        <v>aqua</v>
      </c>
    </row>
    <row r="2204" spans="1:9" x14ac:dyDescent="0.2">
      <c r="A2204">
        <v>6855</v>
      </c>
      <c r="B2204" s="7">
        <v>45967</v>
      </c>
      <c r="C2204" t="s">
        <v>1927</v>
      </c>
      <c r="D2204" t="s">
        <v>352</v>
      </c>
      <c r="E2204">
        <v>36.549999999999997</v>
      </c>
      <c r="G2204">
        <v>200</v>
      </c>
      <c r="I2204" t="str">
        <f>VLOOKUP(G2204,Kostenstellen!$A$1:$C$17,2,0)</f>
        <v>aqua</v>
      </c>
    </row>
    <row r="2205" spans="1:9" x14ac:dyDescent="0.2">
      <c r="A2205">
        <v>6855</v>
      </c>
      <c r="B2205" s="7">
        <v>45967</v>
      </c>
      <c r="C2205" t="s">
        <v>1927</v>
      </c>
      <c r="D2205" t="s">
        <v>352</v>
      </c>
      <c r="E2205">
        <v>36.549999999999997</v>
      </c>
      <c r="G2205">
        <v>200</v>
      </c>
      <c r="I2205" t="str">
        <f>VLOOKUP(G2205,Kostenstellen!$A$1:$C$17,2,0)</f>
        <v>aqua</v>
      </c>
    </row>
    <row r="2206" spans="1:9" x14ac:dyDescent="0.2">
      <c r="A2206">
        <v>6855</v>
      </c>
      <c r="B2206" s="7">
        <v>45967</v>
      </c>
      <c r="C2206" t="s">
        <v>1927</v>
      </c>
      <c r="D2206" t="s">
        <v>352</v>
      </c>
      <c r="E2206">
        <v>36.549999999999997</v>
      </c>
      <c r="G2206">
        <v>200</v>
      </c>
      <c r="I2206" t="str">
        <f>VLOOKUP(G2206,Kostenstellen!$A$1:$C$17,2,0)</f>
        <v>aqua</v>
      </c>
    </row>
    <row r="2207" spans="1:9" x14ac:dyDescent="0.2">
      <c r="A2207">
        <v>6855</v>
      </c>
      <c r="B2207" s="7">
        <v>45967</v>
      </c>
      <c r="C2207" t="s">
        <v>1927</v>
      </c>
      <c r="D2207" t="s">
        <v>352</v>
      </c>
      <c r="E2207">
        <v>36.549999999999997</v>
      </c>
      <c r="G2207">
        <v>200</v>
      </c>
      <c r="I2207" t="str">
        <f>VLOOKUP(G2207,Kostenstellen!$A$1:$C$17,2,0)</f>
        <v>aqua</v>
      </c>
    </row>
    <row r="2208" spans="1:9" x14ac:dyDescent="0.2">
      <c r="A2208">
        <v>6855</v>
      </c>
      <c r="B2208" s="7">
        <v>45967</v>
      </c>
      <c r="C2208" t="s">
        <v>1927</v>
      </c>
      <c r="D2208" t="s">
        <v>352</v>
      </c>
      <c r="E2208">
        <v>36.549999999999997</v>
      </c>
      <c r="G2208">
        <v>200</v>
      </c>
      <c r="I2208" t="str">
        <f>VLOOKUP(G2208,Kostenstellen!$A$1:$C$17,2,0)</f>
        <v>aqua</v>
      </c>
    </row>
    <row r="2209" spans="1:9" x14ac:dyDescent="0.2">
      <c r="A2209">
        <v>6855</v>
      </c>
      <c r="B2209" s="7">
        <v>45967</v>
      </c>
      <c r="C2209" t="s">
        <v>1927</v>
      </c>
      <c r="D2209" t="s">
        <v>352</v>
      </c>
      <c r="E2209">
        <v>36.549999999999997</v>
      </c>
      <c r="G2209">
        <v>200</v>
      </c>
      <c r="I2209" t="str">
        <f>VLOOKUP(G2209,Kostenstellen!$A$1:$C$17,2,0)</f>
        <v>aqua</v>
      </c>
    </row>
    <row r="2210" spans="1:9" x14ac:dyDescent="0.2">
      <c r="A2210">
        <v>6855</v>
      </c>
      <c r="B2210" s="7">
        <v>45967</v>
      </c>
      <c r="C2210" t="s">
        <v>1927</v>
      </c>
      <c r="D2210" t="s">
        <v>352</v>
      </c>
      <c r="E2210">
        <v>36.549999999999997</v>
      </c>
      <c r="G2210">
        <v>200</v>
      </c>
      <c r="I2210" t="str">
        <f>VLOOKUP(G2210,Kostenstellen!$A$1:$C$17,2,0)</f>
        <v>aqua</v>
      </c>
    </row>
    <row r="2211" spans="1:9" x14ac:dyDescent="0.2">
      <c r="A2211">
        <v>6855</v>
      </c>
      <c r="B2211" s="7">
        <v>45967</v>
      </c>
      <c r="C2211" t="s">
        <v>1927</v>
      </c>
      <c r="D2211" t="s">
        <v>352</v>
      </c>
      <c r="E2211">
        <v>39.299999999999997</v>
      </c>
      <c r="G2211">
        <v>200</v>
      </c>
      <c r="I2211" t="str">
        <f>VLOOKUP(G2211,Kostenstellen!$A$1:$C$17,2,0)</f>
        <v>aqua</v>
      </c>
    </row>
    <row r="2212" spans="1:9" x14ac:dyDescent="0.2">
      <c r="A2212">
        <v>6855</v>
      </c>
      <c r="B2212" s="7">
        <v>45971</v>
      </c>
      <c r="C2212" t="s">
        <v>1928</v>
      </c>
      <c r="D2212">
        <v>2025400276</v>
      </c>
      <c r="E2212">
        <v>14.86</v>
      </c>
      <c r="G2212">
        <v>200</v>
      </c>
      <c r="I2212" t="str">
        <f>VLOOKUP(G2212,Kostenstellen!$A$1:$C$17,2,0)</f>
        <v>aqua</v>
      </c>
    </row>
    <row r="2213" spans="1:9" x14ac:dyDescent="0.2">
      <c r="A2213">
        <v>6855</v>
      </c>
      <c r="B2213" s="7">
        <v>45978</v>
      </c>
      <c r="C2213" t="s">
        <v>1928</v>
      </c>
      <c r="D2213">
        <v>2025400292</v>
      </c>
      <c r="E2213">
        <v>7.07</v>
      </c>
      <c r="G2213">
        <v>200</v>
      </c>
      <c r="I2213" t="str">
        <f>VLOOKUP(G2213,Kostenstellen!$A$1:$C$17,2,0)</f>
        <v>aqua</v>
      </c>
    </row>
    <row r="2214" spans="1:9" x14ac:dyDescent="0.2">
      <c r="A2214">
        <v>6855</v>
      </c>
      <c r="B2214" s="7">
        <v>45979</v>
      </c>
      <c r="C2214" t="s">
        <v>1953</v>
      </c>
      <c r="D2214" t="s">
        <v>352</v>
      </c>
      <c r="E2214">
        <v>60</v>
      </c>
      <c r="G2214">
        <v>200</v>
      </c>
      <c r="I2214" t="str">
        <f>VLOOKUP(G2214,Kostenstellen!$A$1:$C$17,2,0)</f>
        <v>aqua</v>
      </c>
    </row>
    <row r="2215" spans="1:9" x14ac:dyDescent="0.2">
      <c r="A2215">
        <v>6855</v>
      </c>
      <c r="B2215" s="7">
        <v>45980</v>
      </c>
      <c r="C2215" t="s">
        <v>1930</v>
      </c>
      <c r="D2215" t="s">
        <v>352</v>
      </c>
      <c r="E2215">
        <v>10</v>
      </c>
      <c r="G2215">
        <v>200</v>
      </c>
      <c r="I2215" t="str">
        <f>VLOOKUP(G2215,Kostenstellen!$A$1:$C$17,2,0)</f>
        <v>aqua</v>
      </c>
    </row>
    <row r="2216" spans="1:9" x14ac:dyDescent="0.2">
      <c r="A2216">
        <v>6855</v>
      </c>
      <c r="B2216" s="7">
        <v>45985</v>
      </c>
      <c r="C2216" t="s">
        <v>1928</v>
      </c>
      <c r="D2216">
        <v>2025400295</v>
      </c>
      <c r="E2216">
        <v>11.7</v>
      </c>
      <c r="G2216">
        <v>200</v>
      </c>
      <c r="I2216" t="str">
        <f>VLOOKUP(G2216,Kostenstellen!$A$1:$C$17,2,0)</f>
        <v>aqua</v>
      </c>
    </row>
    <row r="2217" spans="1:9" x14ac:dyDescent="0.2">
      <c r="A2217">
        <v>6855</v>
      </c>
      <c r="B2217" s="7">
        <v>45988</v>
      </c>
      <c r="C2217" t="s">
        <v>1927</v>
      </c>
      <c r="D2217" t="s">
        <v>352</v>
      </c>
      <c r="E2217">
        <v>36.549999999999997</v>
      </c>
      <c r="G2217">
        <v>200</v>
      </c>
      <c r="I2217" t="str">
        <f>VLOOKUP(G2217,Kostenstellen!$A$1:$C$17,2,0)</f>
        <v>aqua</v>
      </c>
    </row>
    <row r="2218" spans="1:9" x14ac:dyDescent="0.2">
      <c r="A2218">
        <v>6855</v>
      </c>
      <c r="B2218" s="7">
        <v>45989</v>
      </c>
      <c r="C2218" t="s">
        <v>1936</v>
      </c>
      <c r="D2218" t="s">
        <v>352</v>
      </c>
      <c r="E2218">
        <v>157.85</v>
      </c>
      <c r="G2218">
        <v>200</v>
      </c>
      <c r="I2218" t="str">
        <f>VLOOKUP(G2218,Kostenstellen!$A$1:$C$17,2,0)</f>
        <v>aqua</v>
      </c>
    </row>
    <row r="2219" spans="1:9" x14ac:dyDescent="0.2">
      <c r="A2219">
        <v>6855</v>
      </c>
      <c r="B2219" s="7">
        <v>45989</v>
      </c>
      <c r="C2219" t="s">
        <v>1931</v>
      </c>
      <c r="D2219" t="s">
        <v>352</v>
      </c>
      <c r="E2219">
        <v>12.8</v>
      </c>
      <c r="G2219">
        <v>200</v>
      </c>
      <c r="I2219" t="str">
        <f>VLOOKUP(G2219,Kostenstellen!$A$1:$C$17,2,0)</f>
        <v>aqua</v>
      </c>
    </row>
    <row r="2220" spans="1:9" x14ac:dyDescent="0.2">
      <c r="A2220">
        <v>6855</v>
      </c>
      <c r="B2220" s="7">
        <v>45992</v>
      </c>
      <c r="C2220" t="s">
        <v>1938</v>
      </c>
      <c r="D2220" t="s">
        <v>352</v>
      </c>
      <c r="E2220">
        <v>28.45</v>
      </c>
      <c r="G2220">
        <v>200</v>
      </c>
      <c r="I2220" t="str">
        <f>VLOOKUP(G2220,Kostenstellen!$A$1:$C$17,2,0)</f>
        <v>aqua</v>
      </c>
    </row>
    <row r="2221" spans="1:9" x14ac:dyDescent="0.2">
      <c r="A2221">
        <v>6855</v>
      </c>
      <c r="B2221" s="7">
        <v>45992</v>
      </c>
      <c r="C2221" t="s">
        <v>1936</v>
      </c>
      <c r="D2221" t="s">
        <v>352</v>
      </c>
      <c r="E2221">
        <v>53</v>
      </c>
      <c r="G2221">
        <v>200</v>
      </c>
      <c r="I2221" t="str">
        <f>VLOOKUP(G2221,Kostenstellen!$A$1:$C$17,2,0)</f>
        <v>aqua</v>
      </c>
    </row>
    <row r="2222" spans="1:9" x14ac:dyDescent="0.2">
      <c r="A2222">
        <v>6855</v>
      </c>
      <c r="B2222" s="7">
        <v>45992</v>
      </c>
      <c r="C2222" t="s">
        <v>1926</v>
      </c>
      <c r="D2222" t="s">
        <v>352</v>
      </c>
      <c r="E2222">
        <v>32.57</v>
      </c>
      <c r="G2222">
        <v>200</v>
      </c>
      <c r="I2222" t="str">
        <f>VLOOKUP(G2222,Kostenstellen!$A$1:$C$17,2,0)</f>
        <v>aqua</v>
      </c>
    </row>
    <row r="2223" spans="1:9" x14ac:dyDescent="0.2">
      <c r="A2223">
        <v>6855</v>
      </c>
      <c r="B2223" s="7">
        <v>45992</v>
      </c>
      <c r="C2223" t="s">
        <v>1928</v>
      </c>
      <c r="D2223">
        <v>2025400302</v>
      </c>
      <c r="E2223">
        <v>147.41</v>
      </c>
      <c r="G2223">
        <v>200</v>
      </c>
      <c r="I2223" t="str">
        <f>VLOOKUP(G2223,Kostenstellen!$A$1:$C$17,2,0)</f>
        <v>aqua</v>
      </c>
    </row>
    <row r="2224" spans="1:9" x14ac:dyDescent="0.2">
      <c r="A2224">
        <v>6855</v>
      </c>
      <c r="B2224" s="7">
        <v>45993</v>
      </c>
      <c r="C2224" t="s">
        <v>1927</v>
      </c>
      <c r="D2224" t="s">
        <v>352</v>
      </c>
      <c r="E2224">
        <v>36.549999999999997</v>
      </c>
      <c r="G2224">
        <v>200</v>
      </c>
      <c r="I2224" t="str">
        <f>VLOOKUP(G2224,Kostenstellen!$A$1:$C$17,2,0)</f>
        <v>aqua</v>
      </c>
    </row>
    <row r="2225" spans="1:9" x14ac:dyDescent="0.2">
      <c r="A2225">
        <v>6855</v>
      </c>
      <c r="B2225" s="7">
        <v>45993</v>
      </c>
      <c r="C2225" t="s">
        <v>1927</v>
      </c>
      <c r="D2225" t="s">
        <v>352</v>
      </c>
      <c r="E2225">
        <v>36.549999999999997</v>
      </c>
      <c r="G2225">
        <v>200</v>
      </c>
      <c r="I2225" t="str">
        <f>VLOOKUP(G2225,Kostenstellen!$A$1:$C$17,2,0)</f>
        <v>aqua</v>
      </c>
    </row>
    <row r="2226" spans="1:9" x14ac:dyDescent="0.2">
      <c r="A2226">
        <v>6855</v>
      </c>
      <c r="B2226" s="7">
        <v>45993</v>
      </c>
      <c r="C2226" t="s">
        <v>1927</v>
      </c>
      <c r="D2226" t="s">
        <v>352</v>
      </c>
      <c r="E2226">
        <v>36.549999999999997</v>
      </c>
      <c r="G2226">
        <v>200</v>
      </c>
      <c r="I2226" t="str">
        <f>VLOOKUP(G2226,Kostenstellen!$A$1:$C$17,2,0)</f>
        <v>aqua</v>
      </c>
    </row>
    <row r="2227" spans="1:9" x14ac:dyDescent="0.2">
      <c r="A2227">
        <v>6855</v>
      </c>
      <c r="B2227" s="7">
        <v>45993</v>
      </c>
      <c r="C2227" t="s">
        <v>1927</v>
      </c>
      <c r="D2227" t="s">
        <v>352</v>
      </c>
      <c r="E2227">
        <v>36.549999999999997</v>
      </c>
      <c r="G2227">
        <v>200</v>
      </c>
      <c r="I2227" t="str">
        <f>VLOOKUP(G2227,Kostenstellen!$A$1:$C$17,2,0)</f>
        <v>aqua</v>
      </c>
    </row>
    <row r="2228" spans="1:9" x14ac:dyDescent="0.2">
      <c r="A2228">
        <v>6855</v>
      </c>
      <c r="B2228" s="7">
        <v>45993</v>
      </c>
      <c r="C2228" t="s">
        <v>1927</v>
      </c>
      <c r="D2228" t="s">
        <v>352</v>
      </c>
      <c r="E2228">
        <v>36.549999999999997</v>
      </c>
      <c r="G2228">
        <v>200</v>
      </c>
      <c r="I2228" t="str">
        <f>VLOOKUP(G2228,Kostenstellen!$A$1:$C$17,2,0)</f>
        <v>aqua</v>
      </c>
    </row>
    <row r="2229" spans="1:9" x14ac:dyDescent="0.2">
      <c r="A2229">
        <v>6855</v>
      </c>
      <c r="B2229" s="7">
        <v>45993</v>
      </c>
      <c r="C2229" t="s">
        <v>1927</v>
      </c>
      <c r="D2229" t="s">
        <v>352</v>
      </c>
      <c r="E2229">
        <v>36.549999999999997</v>
      </c>
      <c r="G2229">
        <v>200</v>
      </c>
      <c r="I2229" t="str">
        <f>VLOOKUP(G2229,Kostenstellen!$A$1:$C$17,2,0)</f>
        <v>aqua</v>
      </c>
    </row>
    <row r="2230" spans="1:9" x14ac:dyDescent="0.2">
      <c r="A2230">
        <v>6855</v>
      </c>
      <c r="B2230" s="7">
        <v>45993</v>
      </c>
      <c r="C2230" t="s">
        <v>1927</v>
      </c>
      <c r="D2230" t="s">
        <v>352</v>
      </c>
      <c r="E2230">
        <v>36.549999999999997</v>
      </c>
      <c r="G2230">
        <v>200</v>
      </c>
      <c r="I2230" t="str">
        <f>VLOOKUP(G2230,Kostenstellen!$A$1:$C$17,2,0)</f>
        <v>aqua</v>
      </c>
    </row>
    <row r="2231" spans="1:9" x14ac:dyDescent="0.2">
      <c r="A2231">
        <v>6855</v>
      </c>
      <c r="B2231" s="7">
        <v>45993</v>
      </c>
      <c r="C2231" t="s">
        <v>1927</v>
      </c>
      <c r="D2231" t="s">
        <v>352</v>
      </c>
      <c r="E2231">
        <v>36.549999999999997</v>
      </c>
      <c r="G2231">
        <v>200</v>
      </c>
      <c r="I2231" t="str">
        <f>VLOOKUP(G2231,Kostenstellen!$A$1:$C$17,2,0)</f>
        <v>aqua</v>
      </c>
    </row>
    <row r="2232" spans="1:9" x14ac:dyDescent="0.2">
      <c r="A2232">
        <v>6855</v>
      </c>
      <c r="B2232" s="7">
        <v>45993</v>
      </c>
      <c r="C2232" t="s">
        <v>1927</v>
      </c>
      <c r="D2232" t="s">
        <v>352</v>
      </c>
      <c r="E2232">
        <v>36.68</v>
      </c>
      <c r="G2232">
        <v>200</v>
      </c>
      <c r="I2232" t="str">
        <f>VLOOKUP(G2232,Kostenstellen!$A$1:$C$17,2,0)</f>
        <v>aqua</v>
      </c>
    </row>
    <row r="2233" spans="1:9" x14ac:dyDescent="0.2">
      <c r="A2233">
        <v>6855</v>
      </c>
      <c r="B2233" s="7">
        <v>45993</v>
      </c>
      <c r="C2233" t="s">
        <v>1927</v>
      </c>
      <c r="D2233" t="s">
        <v>352</v>
      </c>
      <c r="E2233">
        <v>43.91</v>
      </c>
      <c r="G2233">
        <v>200</v>
      </c>
      <c r="I2233" t="str">
        <f>VLOOKUP(G2233,Kostenstellen!$A$1:$C$17,2,0)</f>
        <v>aqua</v>
      </c>
    </row>
    <row r="2234" spans="1:9" x14ac:dyDescent="0.2">
      <c r="A2234">
        <v>6855</v>
      </c>
      <c r="B2234" s="7">
        <v>45993</v>
      </c>
      <c r="C2234" t="s">
        <v>1927</v>
      </c>
      <c r="D2234" t="s">
        <v>352</v>
      </c>
      <c r="E2234">
        <v>45.86</v>
      </c>
      <c r="G2234">
        <v>200</v>
      </c>
      <c r="I2234" t="str">
        <f>VLOOKUP(G2234,Kostenstellen!$A$1:$C$17,2,0)</f>
        <v>aqua</v>
      </c>
    </row>
    <row r="2235" spans="1:9" x14ac:dyDescent="0.2">
      <c r="A2235">
        <v>6855</v>
      </c>
      <c r="B2235" s="7">
        <v>45999</v>
      </c>
      <c r="C2235" t="s">
        <v>1941</v>
      </c>
      <c r="D2235">
        <v>2025400305</v>
      </c>
      <c r="E2235">
        <v>3.18</v>
      </c>
      <c r="G2235">
        <v>200</v>
      </c>
      <c r="I2235" t="str">
        <f>VLOOKUP(G2235,Kostenstellen!$A$1:$C$17,2,0)</f>
        <v>aqua</v>
      </c>
    </row>
    <row r="2236" spans="1:9" x14ac:dyDescent="0.2">
      <c r="A2236">
        <v>6855</v>
      </c>
      <c r="B2236" s="7">
        <v>46006</v>
      </c>
      <c r="C2236" t="s">
        <v>1928</v>
      </c>
      <c r="D2236">
        <v>2025400321</v>
      </c>
      <c r="E2236">
        <v>18.75</v>
      </c>
      <c r="G2236">
        <v>200</v>
      </c>
      <c r="I2236" t="str">
        <f>VLOOKUP(G2236,Kostenstellen!$A$1:$C$17,2,0)</f>
        <v>aqua</v>
      </c>
    </row>
    <row r="2237" spans="1:9" x14ac:dyDescent="0.2">
      <c r="A2237">
        <v>6855</v>
      </c>
      <c r="B2237" s="7">
        <v>46010</v>
      </c>
      <c r="C2237" t="s">
        <v>1930</v>
      </c>
      <c r="D2237" t="s">
        <v>352</v>
      </c>
      <c r="E2237">
        <v>10</v>
      </c>
      <c r="G2237">
        <v>200</v>
      </c>
      <c r="I2237" t="str">
        <f>VLOOKUP(G2237,Kostenstellen!$A$1:$C$17,2,0)</f>
        <v>aqua</v>
      </c>
    </row>
    <row r="2238" spans="1:9" x14ac:dyDescent="0.2">
      <c r="A2238">
        <v>6855</v>
      </c>
      <c r="B2238" s="7">
        <v>46013</v>
      </c>
      <c r="C2238" t="s">
        <v>1928</v>
      </c>
      <c r="D2238">
        <v>2025400325</v>
      </c>
      <c r="E2238">
        <v>11.74</v>
      </c>
      <c r="G2238">
        <v>200</v>
      </c>
      <c r="I2238" t="str">
        <f>VLOOKUP(G2238,Kostenstellen!$A$1:$C$17,2,0)</f>
        <v>aqua</v>
      </c>
    </row>
    <row r="2239" spans="1:9" x14ac:dyDescent="0.2">
      <c r="A2239">
        <v>6855</v>
      </c>
      <c r="B2239" s="7">
        <v>46020</v>
      </c>
      <c r="C2239" t="s">
        <v>1928</v>
      </c>
      <c r="D2239">
        <v>2025400273</v>
      </c>
      <c r="E2239">
        <v>547.61</v>
      </c>
      <c r="G2239">
        <v>200</v>
      </c>
      <c r="I2239" t="str">
        <f>VLOOKUP(G2239,Kostenstellen!$A$1:$C$17,2,0)</f>
        <v>aqua</v>
      </c>
    </row>
    <row r="2240" spans="1:9" x14ac:dyDescent="0.2">
      <c r="A2240">
        <v>6855</v>
      </c>
      <c r="B2240" s="7">
        <v>46020</v>
      </c>
      <c r="C2240" t="s">
        <v>1927</v>
      </c>
      <c r="D2240" t="s">
        <v>1590</v>
      </c>
      <c r="E2240">
        <v>36.549999999999997</v>
      </c>
      <c r="G2240">
        <v>200</v>
      </c>
      <c r="I2240" t="str">
        <f>VLOOKUP(G2240,Kostenstellen!$A$1:$C$17,2,0)</f>
        <v>aqua</v>
      </c>
    </row>
    <row r="2241" spans="1:9" x14ac:dyDescent="0.2">
      <c r="A2241">
        <v>6855</v>
      </c>
      <c r="B2241" s="7">
        <v>46021</v>
      </c>
      <c r="C2241" t="s">
        <v>1931</v>
      </c>
      <c r="D2241" t="s">
        <v>352</v>
      </c>
      <c r="E2241">
        <v>11.6</v>
      </c>
      <c r="G2241">
        <v>200</v>
      </c>
      <c r="I2241" t="str">
        <f>VLOOKUP(G2241,Kostenstellen!$A$1:$C$17,2,0)</f>
        <v>aqua</v>
      </c>
    </row>
    <row r="2242" spans="1:9" x14ac:dyDescent="0.2">
      <c r="A2242">
        <v>6855</v>
      </c>
      <c r="B2242" s="7">
        <v>46022</v>
      </c>
      <c r="C2242" t="s">
        <v>1938</v>
      </c>
      <c r="D2242" t="s">
        <v>352</v>
      </c>
      <c r="E2242">
        <v>28.45</v>
      </c>
      <c r="G2242">
        <v>200</v>
      </c>
      <c r="I2242" t="str">
        <f>VLOOKUP(G2242,Kostenstellen!$A$1:$C$17,2,0)</f>
        <v>aqua</v>
      </c>
    </row>
    <row r="2243" spans="1:9" x14ac:dyDescent="0.2">
      <c r="A2243">
        <v>6855</v>
      </c>
      <c r="B2243" s="7">
        <v>46022</v>
      </c>
      <c r="C2243" t="s">
        <v>1936</v>
      </c>
      <c r="D2243" t="s">
        <v>352</v>
      </c>
      <c r="E2243">
        <v>157.85</v>
      </c>
      <c r="G2243">
        <v>200</v>
      </c>
      <c r="I2243" t="str">
        <f>VLOOKUP(G2243,Kostenstellen!$A$1:$C$17,2,0)</f>
        <v>aqua</v>
      </c>
    </row>
    <row r="2244" spans="1:9" x14ac:dyDescent="0.2">
      <c r="A2244">
        <v>6855</v>
      </c>
      <c r="B2244" s="7">
        <v>46022</v>
      </c>
      <c r="C2244" t="s">
        <v>1936</v>
      </c>
      <c r="D2244" t="s">
        <v>352</v>
      </c>
      <c r="E2244">
        <v>253</v>
      </c>
      <c r="G2244">
        <v>200</v>
      </c>
      <c r="I2244" t="str">
        <f>VLOOKUP(G2244,Kostenstellen!$A$1:$C$17,2,0)</f>
        <v>aqua</v>
      </c>
    </row>
    <row r="2245" spans="1:9" x14ac:dyDescent="0.2">
      <c r="A2245">
        <v>6880</v>
      </c>
      <c r="B2245" s="7">
        <v>45782</v>
      </c>
      <c r="C2245" t="s">
        <v>102</v>
      </c>
      <c r="D2245" t="s">
        <v>352</v>
      </c>
      <c r="E2245">
        <v>6.36</v>
      </c>
      <c r="G2245">
        <v>200</v>
      </c>
      <c r="I2245" t="str">
        <f>VLOOKUP(G2245,Kostenstellen!$A$1:$C$17,2,0)</f>
        <v>aqua</v>
      </c>
    </row>
    <row r="2246" spans="1:9" x14ac:dyDescent="0.2">
      <c r="A2246">
        <v>6880</v>
      </c>
      <c r="B2246" s="7">
        <v>45786</v>
      </c>
      <c r="C2246" t="s">
        <v>1954</v>
      </c>
      <c r="D2246">
        <v>2025400100</v>
      </c>
      <c r="E2246">
        <v>138.19999999999999</v>
      </c>
      <c r="G2246">
        <v>200</v>
      </c>
      <c r="I2246" t="str">
        <f>VLOOKUP(G2246,Kostenstellen!$A$1:$C$17,2,0)</f>
        <v>aqua</v>
      </c>
    </row>
    <row r="2247" spans="1:9" x14ac:dyDescent="0.2">
      <c r="A2247">
        <v>6880</v>
      </c>
      <c r="B2247" s="7">
        <v>45930</v>
      </c>
      <c r="C2247" t="s">
        <v>1955</v>
      </c>
      <c r="D2247" t="s">
        <v>352</v>
      </c>
      <c r="E2247">
        <v>71.930000000000007</v>
      </c>
      <c r="G2247">
        <v>200</v>
      </c>
      <c r="I2247" t="str">
        <f>VLOOKUP(G2247,Kostenstellen!$A$1:$C$17,2,0)</f>
        <v>aqua</v>
      </c>
    </row>
    <row r="2248" spans="1:9" x14ac:dyDescent="0.2">
      <c r="A2248">
        <v>6936</v>
      </c>
      <c r="B2248" s="7">
        <v>45771</v>
      </c>
      <c r="C2248" t="s">
        <v>1956</v>
      </c>
      <c r="D2248">
        <v>2024400201</v>
      </c>
      <c r="E2248" s="6">
        <v>5244</v>
      </c>
      <c r="G2248">
        <v>200</v>
      </c>
      <c r="I2248" t="str">
        <f>VLOOKUP(G2248,Kostenstellen!$A$1:$C$17,2,0)</f>
        <v>aqua</v>
      </c>
    </row>
    <row r="2249" spans="1:9" x14ac:dyDescent="0.2">
      <c r="A2249">
        <v>6969</v>
      </c>
      <c r="B2249" s="7">
        <v>46022</v>
      </c>
      <c r="C2249" t="s">
        <v>1957</v>
      </c>
      <c r="D2249">
        <v>2024</v>
      </c>
      <c r="E2249">
        <v>46.55</v>
      </c>
      <c r="G2249">
        <v>200</v>
      </c>
      <c r="I2249" t="str">
        <f>VLOOKUP(G2249,Kostenstellen!$A$1:$C$17,2,0)</f>
        <v>aqua</v>
      </c>
    </row>
    <row r="2250" spans="1:9" x14ac:dyDescent="0.2">
      <c r="A2250">
        <v>6969</v>
      </c>
      <c r="B2250" s="7">
        <v>46022</v>
      </c>
      <c r="C2250" t="s">
        <v>1958</v>
      </c>
      <c r="D2250">
        <v>2024400042</v>
      </c>
      <c r="E2250" s="6">
        <v>26200</v>
      </c>
      <c r="G2250">
        <v>200</v>
      </c>
      <c r="I2250" t="str">
        <f>VLOOKUP(G2250,Kostenstellen!$A$1:$C$17,2,0)</f>
        <v>aqua</v>
      </c>
    </row>
    <row r="2251" spans="1:9" x14ac:dyDescent="0.2">
      <c r="A2251">
        <v>7100</v>
      </c>
      <c r="B2251" s="7">
        <v>45757</v>
      </c>
      <c r="C2251" t="s">
        <v>1959</v>
      </c>
      <c r="D2251" t="s">
        <v>352</v>
      </c>
      <c r="F2251">
        <v>21.1</v>
      </c>
      <c r="G2251">
        <v>200</v>
      </c>
      <c r="I2251" t="str">
        <f>VLOOKUP(G2251,Kostenstellen!$A$1:$C$17,2,0)</f>
        <v>aqua</v>
      </c>
    </row>
  </sheetData>
  <autoFilter ref="A3:I2251" xr:uid="{644DF521-10AA-4E63-B434-B37F87ADF254}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286E0-DE62-4EFD-82A9-DAAFDD98D1EE}">
  <sheetPr>
    <tabColor rgb="FFFFFF00"/>
  </sheetPr>
  <dimension ref="A1:L114"/>
  <sheetViews>
    <sheetView topLeftCell="A72" workbookViewId="0">
      <selection activeCell="J86" activeCellId="1" sqref="J13 J86"/>
    </sheetView>
  </sheetViews>
  <sheetFormatPr baseColWidth="10" defaultColWidth="11.5" defaultRowHeight="15" x14ac:dyDescent="0.2"/>
  <sheetData>
    <row r="1" spans="1:12" x14ac:dyDescent="0.2">
      <c r="A1" s="11" t="s">
        <v>1960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48" x14ac:dyDescent="0.2">
      <c r="A2" s="1" t="s">
        <v>1961</v>
      </c>
      <c r="B2" s="1" t="s">
        <v>1962</v>
      </c>
      <c r="C2" s="1" t="s">
        <v>1963</v>
      </c>
      <c r="D2" s="1" t="s">
        <v>1964</v>
      </c>
      <c r="E2" s="1" t="s">
        <v>1961</v>
      </c>
      <c r="F2" s="2" t="s">
        <v>1965</v>
      </c>
      <c r="G2" s="2" t="s">
        <v>1966</v>
      </c>
      <c r="H2" s="1" t="s">
        <v>1967</v>
      </c>
      <c r="I2" s="2" t="s">
        <v>1968</v>
      </c>
      <c r="J2" s="1" t="s">
        <v>1967</v>
      </c>
      <c r="K2" s="1" t="s">
        <v>1969</v>
      </c>
      <c r="L2" s="1" t="s">
        <v>1964</v>
      </c>
    </row>
    <row r="3" spans="1:12" x14ac:dyDescent="0.2">
      <c r="A3" s="3">
        <v>1020</v>
      </c>
      <c r="B3" s="4" t="s">
        <v>1970</v>
      </c>
      <c r="C3" s="5">
        <v>4337</v>
      </c>
      <c r="D3" s="4" t="s">
        <v>1971</v>
      </c>
      <c r="E3" s="3"/>
      <c r="F3" s="4" t="s">
        <v>1972</v>
      </c>
      <c r="G3" s="6">
        <v>10330.66</v>
      </c>
      <c r="H3" s="6">
        <v>188239.89</v>
      </c>
      <c r="I3" s="6">
        <v>94337.58</v>
      </c>
      <c r="J3" s="6">
        <v>2187895.4300000002</v>
      </c>
      <c r="K3" s="3">
        <v>0</v>
      </c>
      <c r="L3" s="4" t="s">
        <v>1964</v>
      </c>
    </row>
    <row r="4" spans="1:12" x14ac:dyDescent="0.2">
      <c r="A4" s="3">
        <v>1020</v>
      </c>
      <c r="B4" s="4" t="s">
        <v>1964</v>
      </c>
      <c r="C4" s="5">
        <v>4338</v>
      </c>
      <c r="D4" s="4" t="s">
        <v>1971</v>
      </c>
      <c r="E4" s="3"/>
      <c r="F4" s="4" t="s">
        <v>1973</v>
      </c>
      <c r="G4" s="6">
        <v>23132.36</v>
      </c>
      <c r="H4" s="6"/>
      <c r="I4" s="6">
        <v>188898.92</v>
      </c>
      <c r="J4" s="6"/>
      <c r="K4" s="3">
        <v>0</v>
      </c>
      <c r="L4" s="4" t="s">
        <v>1964</v>
      </c>
    </row>
    <row r="5" spans="1:12" x14ac:dyDescent="0.2">
      <c r="A5" s="3">
        <v>1020</v>
      </c>
      <c r="B5" s="4" t="s">
        <v>1964</v>
      </c>
      <c r="C5" s="5">
        <v>4402</v>
      </c>
      <c r="D5" s="4" t="s">
        <v>1971</v>
      </c>
      <c r="E5" s="3"/>
      <c r="F5" s="4" t="s">
        <v>1974</v>
      </c>
      <c r="G5" s="6">
        <v>68145.25</v>
      </c>
      <c r="H5" s="6"/>
      <c r="I5" s="6">
        <v>734549.96</v>
      </c>
      <c r="J5" s="6"/>
      <c r="K5" s="3">
        <v>0</v>
      </c>
      <c r="L5" s="4" t="s">
        <v>1964</v>
      </c>
    </row>
    <row r="6" spans="1:12" x14ac:dyDescent="0.2">
      <c r="A6" s="3">
        <v>1020</v>
      </c>
      <c r="B6" s="4" t="s">
        <v>1964</v>
      </c>
      <c r="C6" s="5">
        <v>4403</v>
      </c>
      <c r="D6" s="4" t="s">
        <v>1971</v>
      </c>
      <c r="E6" s="3"/>
      <c r="F6" s="4" t="s">
        <v>1975</v>
      </c>
      <c r="G6" s="6">
        <v>18327.759999999998</v>
      </c>
      <c r="H6" s="6"/>
      <c r="I6" s="6">
        <v>372074.58</v>
      </c>
      <c r="J6" s="6"/>
      <c r="K6" s="3">
        <v>0</v>
      </c>
      <c r="L6" s="4" t="s">
        <v>1964</v>
      </c>
    </row>
    <row r="7" spans="1:12" x14ac:dyDescent="0.2">
      <c r="A7" s="3">
        <v>1020</v>
      </c>
      <c r="B7" s="4" t="s">
        <v>1964</v>
      </c>
      <c r="C7" s="5">
        <v>4406</v>
      </c>
      <c r="D7" s="4" t="s">
        <v>1971</v>
      </c>
      <c r="E7" s="3"/>
      <c r="F7" s="4" t="s">
        <v>1976</v>
      </c>
      <c r="G7" s="6">
        <v>10000</v>
      </c>
      <c r="H7" s="6"/>
      <c r="I7" s="6">
        <v>32749</v>
      </c>
      <c r="J7" s="6"/>
      <c r="K7" s="3">
        <v>0</v>
      </c>
      <c r="L7" s="4" t="s">
        <v>1964</v>
      </c>
    </row>
    <row r="8" spans="1:12" x14ac:dyDescent="0.2">
      <c r="A8" s="3">
        <v>1020</v>
      </c>
      <c r="B8" s="4" t="s">
        <v>1964</v>
      </c>
      <c r="C8" s="5">
        <v>4409</v>
      </c>
      <c r="D8" s="4" t="s">
        <v>1971</v>
      </c>
      <c r="E8" s="3"/>
      <c r="F8" s="4" t="s">
        <v>1977</v>
      </c>
      <c r="G8" s="6">
        <v>58303.86</v>
      </c>
      <c r="H8" s="6"/>
      <c r="I8" s="6">
        <v>701355.39</v>
      </c>
      <c r="J8" s="6"/>
      <c r="K8" s="3">
        <v>0</v>
      </c>
      <c r="L8" s="4" t="s">
        <v>1964</v>
      </c>
    </row>
    <row r="9" spans="1:12" x14ac:dyDescent="0.2">
      <c r="A9" s="3">
        <v>1020</v>
      </c>
      <c r="B9" s="4" t="s">
        <v>1964</v>
      </c>
      <c r="C9" s="5">
        <v>4410</v>
      </c>
      <c r="D9" s="4" t="s">
        <v>1971</v>
      </c>
      <c r="E9" s="3"/>
      <c r="F9" s="4" t="s">
        <v>1978</v>
      </c>
      <c r="G9" s="6">
        <v>0</v>
      </c>
      <c r="H9" s="6"/>
      <c r="I9" s="6">
        <v>63930</v>
      </c>
      <c r="J9" s="6"/>
      <c r="K9" s="3">
        <v>0</v>
      </c>
      <c r="L9" s="4" t="s">
        <v>1964</v>
      </c>
    </row>
    <row r="10" spans="1:12" x14ac:dyDescent="0.2">
      <c r="A10" s="3">
        <v>1020</v>
      </c>
      <c r="B10" s="4" t="s">
        <v>1964</v>
      </c>
      <c r="C10" s="5">
        <v>0</v>
      </c>
      <c r="D10" s="4" t="s">
        <v>1964</v>
      </c>
      <c r="E10" s="3"/>
      <c r="F10" s="4" t="s">
        <v>1964</v>
      </c>
      <c r="G10" s="6"/>
      <c r="H10" s="6"/>
      <c r="I10" s="6"/>
      <c r="J10" s="6"/>
      <c r="K10" s="3"/>
      <c r="L10" s="4" t="s">
        <v>1964</v>
      </c>
    </row>
    <row r="11" spans="1:12" x14ac:dyDescent="0.2">
      <c r="A11" s="3">
        <v>1051</v>
      </c>
      <c r="B11" s="4" t="s">
        <v>1979</v>
      </c>
      <c r="C11" s="5">
        <v>0</v>
      </c>
      <c r="D11" s="4" t="s">
        <v>1964</v>
      </c>
      <c r="E11" s="3">
        <v>1020</v>
      </c>
      <c r="F11" s="4" t="s">
        <v>1970</v>
      </c>
      <c r="G11" s="6">
        <v>188239.89</v>
      </c>
      <c r="H11" s="6">
        <v>188239.89</v>
      </c>
      <c r="I11" s="6">
        <v>2187895.4300000002</v>
      </c>
      <c r="J11" s="6">
        <v>2187895.4300000002</v>
      </c>
      <c r="K11" s="3">
        <v>1</v>
      </c>
      <c r="L11" s="4" t="s">
        <v>1964</v>
      </c>
    </row>
    <row r="12" spans="1:12" x14ac:dyDescent="0.2">
      <c r="A12" s="3">
        <v>1051</v>
      </c>
      <c r="B12" s="4" t="s">
        <v>1964</v>
      </c>
      <c r="C12" s="5">
        <v>0</v>
      </c>
      <c r="D12" s="4" t="s">
        <v>1964</v>
      </c>
      <c r="E12" s="3"/>
      <c r="F12" s="4" t="s">
        <v>1964</v>
      </c>
      <c r="G12" s="6"/>
      <c r="H12" s="6"/>
      <c r="I12" s="6"/>
      <c r="J12" s="6"/>
      <c r="K12" s="3"/>
      <c r="L12" s="4" t="s">
        <v>1964</v>
      </c>
    </row>
    <row r="13" spans="1:12" x14ac:dyDescent="0.2">
      <c r="A13" s="3">
        <v>1060</v>
      </c>
      <c r="B13" s="4" t="s">
        <v>1980</v>
      </c>
      <c r="C13" s="5">
        <v>5900</v>
      </c>
      <c r="D13" s="4" t="s">
        <v>1981</v>
      </c>
      <c r="E13" s="3"/>
      <c r="F13" s="4" t="s">
        <v>1982</v>
      </c>
      <c r="G13" s="6">
        <v>9260</v>
      </c>
      <c r="H13" s="6">
        <v>9260</v>
      </c>
      <c r="I13" s="6">
        <v>525900.66</v>
      </c>
      <c r="J13" s="6">
        <v>612970.67000000004</v>
      </c>
      <c r="K13" s="3">
        <v>25</v>
      </c>
      <c r="L13" s="4" t="s">
        <v>1964</v>
      </c>
    </row>
    <row r="14" spans="1:12" x14ac:dyDescent="0.2">
      <c r="A14" s="3">
        <v>1060</v>
      </c>
      <c r="B14" s="4" t="s">
        <v>1964</v>
      </c>
      <c r="C14" s="5">
        <v>5901</v>
      </c>
      <c r="D14" s="4" t="s">
        <v>1981</v>
      </c>
      <c r="E14" s="3"/>
      <c r="F14" s="4" t="s">
        <v>1983</v>
      </c>
      <c r="G14" s="6">
        <v>0</v>
      </c>
      <c r="H14" s="6"/>
      <c r="I14" s="6">
        <v>36400</v>
      </c>
      <c r="J14" s="6"/>
      <c r="K14" s="3">
        <v>25</v>
      </c>
      <c r="L14" s="4" t="s">
        <v>1964</v>
      </c>
    </row>
    <row r="15" spans="1:12" x14ac:dyDescent="0.2">
      <c r="A15" s="3">
        <v>1060</v>
      </c>
      <c r="B15" s="4" t="s">
        <v>1964</v>
      </c>
      <c r="C15" s="5">
        <v>5923</v>
      </c>
      <c r="D15" s="4" t="s">
        <v>1981</v>
      </c>
      <c r="E15" s="3"/>
      <c r="F15" s="4" t="s">
        <v>1984</v>
      </c>
      <c r="G15" s="6">
        <v>0</v>
      </c>
      <c r="H15" s="6"/>
      <c r="I15" s="6">
        <v>50670.01</v>
      </c>
      <c r="J15" s="6"/>
      <c r="K15" s="3">
        <v>25</v>
      </c>
      <c r="L15" s="4" t="s">
        <v>1964</v>
      </c>
    </row>
    <row r="16" spans="1:12" x14ac:dyDescent="0.2">
      <c r="A16" s="3">
        <v>1060</v>
      </c>
      <c r="B16" s="4" t="s">
        <v>1964</v>
      </c>
      <c r="C16" s="5">
        <v>0</v>
      </c>
      <c r="D16" s="4" t="s">
        <v>1964</v>
      </c>
      <c r="E16" s="3"/>
      <c r="F16" s="4" t="s">
        <v>1964</v>
      </c>
      <c r="G16" s="6"/>
      <c r="H16" s="6"/>
      <c r="I16" s="6"/>
      <c r="J16" s="6"/>
      <c r="K16" s="3"/>
      <c r="L16" s="4" t="s">
        <v>1964</v>
      </c>
    </row>
    <row r="17" spans="1:12" x14ac:dyDescent="0.2">
      <c r="A17" s="3">
        <v>1080</v>
      </c>
      <c r="B17" s="4" t="s">
        <v>1985</v>
      </c>
      <c r="C17" s="5">
        <v>0</v>
      </c>
      <c r="D17" s="4" t="s">
        <v>1964</v>
      </c>
      <c r="E17" s="3">
        <v>1051</v>
      </c>
      <c r="F17" s="4" t="s">
        <v>1979</v>
      </c>
      <c r="G17" s="6">
        <v>188239.89</v>
      </c>
      <c r="H17" s="6">
        <v>178979.89</v>
      </c>
      <c r="I17" s="6">
        <v>2187895.4300000002</v>
      </c>
      <c r="J17" s="6">
        <v>1574924.76</v>
      </c>
      <c r="K17" s="3">
        <v>2</v>
      </c>
      <c r="L17" s="4" t="s">
        <v>1964</v>
      </c>
    </row>
    <row r="18" spans="1:12" x14ac:dyDescent="0.2">
      <c r="A18" s="3">
        <v>1080</v>
      </c>
      <c r="B18" s="4" t="s">
        <v>1964</v>
      </c>
      <c r="C18" s="5">
        <v>0</v>
      </c>
      <c r="D18" s="4" t="s">
        <v>1964</v>
      </c>
      <c r="E18" s="3">
        <v>1060</v>
      </c>
      <c r="F18" s="4" t="s">
        <v>1980</v>
      </c>
      <c r="G18" s="6">
        <v>9260</v>
      </c>
      <c r="H18" s="6"/>
      <c r="I18" s="6">
        <v>612970.67000000004</v>
      </c>
      <c r="J18" s="6"/>
      <c r="K18" s="3">
        <v>2</v>
      </c>
      <c r="L18" s="4" t="s">
        <v>1964</v>
      </c>
    </row>
    <row r="19" spans="1:12" x14ac:dyDescent="0.2">
      <c r="A19" s="3">
        <v>1080</v>
      </c>
      <c r="B19" s="4" t="s">
        <v>1964</v>
      </c>
      <c r="C19" s="5">
        <v>0</v>
      </c>
      <c r="D19" s="4" t="s">
        <v>1964</v>
      </c>
      <c r="E19" s="3"/>
      <c r="F19" s="4" t="s">
        <v>1964</v>
      </c>
      <c r="G19" s="6"/>
      <c r="H19" s="6"/>
      <c r="I19" s="6"/>
      <c r="J19" s="6"/>
      <c r="K19" s="3"/>
      <c r="L19" s="4" t="s">
        <v>1964</v>
      </c>
    </row>
    <row r="20" spans="1:12" x14ac:dyDescent="0.2">
      <c r="A20" s="3">
        <v>1090</v>
      </c>
      <c r="B20" s="4" t="s">
        <v>1986</v>
      </c>
      <c r="C20" s="5">
        <v>4830</v>
      </c>
      <c r="D20" s="4" t="s">
        <v>1971</v>
      </c>
      <c r="E20" s="3"/>
      <c r="F20" s="4" t="s">
        <v>1987</v>
      </c>
      <c r="G20" s="6">
        <v>0</v>
      </c>
      <c r="H20" s="6">
        <v>929.85</v>
      </c>
      <c r="I20" s="6">
        <v>831.67</v>
      </c>
      <c r="J20" s="6">
        <v>16228.65</v>
      </c>
      <c r="K20" s="3">
        <v>0</v>
      </c>
      <c r="L20" s="4" t="s">
        <v>1964</v>
      </c>
    </row>
    <row r="21" spans="1:12" x14ac:dyDescent="0.2">
      <c r="A21" s="3">
        <v>1090</v>
      </c>
      <c r="B21" s="4" t="s">
        <v>1964</v>
      </c>
      <c r="C21" s="5">
        <v>4840</v>
      </c>
      <c r="D21" s="4" t="s">
        <v>1971</v>
      </c>
      <c r="E21" s="3"/>
      <c r="F21" s="4" t="s">
        <v>1988</v>
      </c>
      <c r="G21" s="6">
        <v>0</v>
      </c>
      <c r="H21" s="6"/>
      <c r="I21" s="6">
        <v>0.92</v>
      </c>
      <c r="J21" s="6"/>
      <c r="K21" s="3">
        <v>0</v>
      </c>
      <c r="L21" s="4" t="s">
        <v>1964</v>
      </c>
    </row>
    <row r="22" spans="1:12" x14ac:dyDescent="0.2">
      <c r="A22" s="3">
        <v>1090</v>
      </c>
      <c r="B22" s="4" t="s">
        <v>1964</v>
      </c>
      <c r="C22" s="5">
        <v>4946</v>
      </c>
      <c r="D22" s="4" t="s">
        <v>1971</v>
      </c>
      <c r="E22" s="3"/>
      <c r="F22" s="4" t="s">
        <v>1989</v>
      </c>
      <c r="G22" s="6">
        <v>-28</v>
      </c>
      <c r="H22" s="6"/>
      <c r="I22" s="6">
        <v>4395.6499999999996</v>
      </c>
      <c r="J22" s="6"/>
      <c r="K22" s="3">
        <v>0</v>
      </c>
      <c r="L22" s="4" t="s">
        <v>1964</v>
      </c>
    </row>
    <row r="23" spans="1:12" x14ac:dyDescent="0.2">
      <c r="A23" s="3">
        <v>1090</v>
      </c>
      <c r="B23" s="4" t="s">
        <v>1964</v>
      </c>
      <c r="C23" s="5">
        <v>4947</v>
      </c>
      <c r="D23" s="4" t="s">
        <v>1971</v>
      </c>
      <c r="E23" s="3"/>
      <c r="F23" s="4" t="s">
        <v>1990</v>
      </c>
      <c r="G23" s="6">
        <v>957.85</v>
      </c>
      <c r="H23" s="6"/>
      <c r="I23" s="6">
        <v>11000.41</v>
      </c>
      <c r="J23" s="6"/>
      <c r="K23" s="3">
        <v>0</v>
      </c>
      <c r="L23" s="4" t="s">
        <v>1964</v>
      </c>
    </row>
    <row r="24" spans="1:12" x14ac:dyDescent="0.2">
      <c r="A24" s="3">
        <v>1090</v>
      </c>
      <c r="B24" s="4" t="s">
        <v>1964</v>
      </c>
      <c r="C24" s="5">
        <v>0</v>
      </c>
      <c r="D24" s="4" t="s">
        <v>1964</v>
      </c>
      <c r="E24" s="3"/>
      <c r="F24" s="4" t="s">
        <v>1964</v>
      </c>
      <c r="G24" s="6"/>
      <c r="H24" s="6"/>
      <c r="I24" s="6"/>
      <c r="J24" s="6"/>
      <c r="K24" s="3"/>
      <c r="L24" s="4" t="s">
        <v>1964</v>
      </c>
    </row>
    <row r="25" spans="1:12" x14ac:dyDescent="0.2">
      <c r="A25" s="3">
        <v>1092</v>
      </c>
      <c r="B25" s="4" t="s">
        <v>1991</v>
      </c>
      <c r="C25" s="5">
        <v>0</v>
      </c>
      <c r="D25" s="4" t="s">
        <v>1964</v>
      </c>
      <c r="E25" s="3">
        <v>1080</v>
      </c>
      <c r="F25" s="4" t="s">
        <v>1985</v>
      </c>
      <c r="G25" s="6">
        <v>178979.89</v>
      </c>
      <c r="H25" s="6">
        <v>179909.74</v>
      </c>
      <c r="I25" s="6">
        <v>1574924.76</v>
      </c>
      <c r="J25" s="6">
        <v>1591153.41</v>
      </c>
      <c r="K25" s="3">
        <v>1</v>
      </c>
      <c r="L25" s="4" t="s">
        <v>1964</v>
      </c>
    </row>
    <row r="26" spans="1:12" x14ac:dyDescent="0.2">
      <c r="A26" s="3">
        <v>1092</v>
      </c>
      <c r="B26" s="4" t="s">
        <v>1964</v>
      </c>
      <c r="C26" s="5">
        <v>0</v>
      </c>
      <c r="D26" s="4" t="s">
        <v>1964</v>
      </c>
      <c r="E26" s="3">
        <v>1090</v>
      </c>
      <c r="F26" s="4" t="s">
        <v>1986</v>
      </c>
      <c r="G26" s="6">
        <v>929.85</v>
      </c>
      <c r="H26" s="6"/>
      <c r="I26" s="6">
        <v>16228.65</v>
      </c>
      <c r="J26" s="6"/>
      <c r="K26" s="3">
        <v>1</v>
      </c>
      <c r="L26" s="4" t="s">
        <v>1964</v>
      </c>
    </row>
    <row r="27" spans="1:12" x14ac:dyDescent="0.2">
      <c r="A27" s="3">
        <v>1092</v>
      </c>
      <c r="B27" s="4" t="s">
        <v>1964</v>
      </c>
      <c r="C27" s="5">
        <v>0</v>
      </c>
      <c r="D27" s="4" t="s">
        <v>1964</v>
      </c>
      <c r="E27" s="3"/>
      <c r="F27" s="4" t="s">
        <v>1964</v>
      </c>
      <c r="G27" s="6"/>
      <c r="H27" s="6"/>
      <c r="I27" s="6"/>
      <c r="J27" s="6"/>
      <c r="K27" s="3"/>
      <c r="L27" s="4" t="s">
        <v>1964</v>
      </c>
    </row>
    <row r="28" spans="1:12" x14ac:dyDescent="0.2">
      <c r="A28" s="3">
        <v>1100</v>
      </c>
      <c r="B28" s="4" t="s">
        <v>1992</v>
      </c>
      <c r="C28" s="5">
        <v>6020</v>
      </c>
      <c r="D28" s="4" t="s">
        <v>1981</v>
      </c>
      <c r="E28" s="3"/>
      <c r="F28" s="4" t="s">
        <v>368</v>
      </c>
      <c r="G28" s="6">
        <v>41468.6</v>
      </c>
      <c r="H28" s="6">
        <v>52055.99</v>
      </c>
      <c r="I28" s="6">
        <v>476397.87</v>
      </c>
      <c r="J28" s="6">
        <v>606428.88</v>
      </c>
      <c r="K28" s="3">
        <v>0</v>
      </c>
      <c r="L28" s="4" t="s">
        <v>1964</v>
      </c>
    </row>
    <row r="29" spans="1:12" x14ac:dyDescent="0.2">
      <c r="A29" s="3">
        <v>1100</v>
      </c>
      <c r="B29" s="4" t="s">
        <v>1964</v>
      </c>
      <c r="C29" s="5">
        <v>6039</v>
      </c>
      <c r="D29" s="4" t="s">
        <v>1981</v>
      </c>
      <c r="E29" s="3"/>
      <c r="F29" s="4" t="s">
        <v>1993</v>
      </c>
      <c r="G29" s="6">
        <v>0</v>
      </c>
      <c r="H29" s="6"/>
      <c r="I29" s="6">
        <v>1540.23</v>
      </c>
      <c r="J29" s="6"/>
      <c r="K29" s="3">
        <v>0</v>
      </c>
      <c r="L29" s="4" t="s">
        <v>1964</v>
      </c>
    </row>
    <row r="30" spans="1:12" x14ac:dyDescent="0.2">
      <c r="A30" s="3">
        <v>1100</v>
      </c>
      <c r="B30" s="4" t="s">
        <v>1964</v>
      </c>
      <c r="C30" s="5">
        <v>6060</v>
      </c>
      <c r="D30" s="4" t="s">
        <v>1981</v>
      </c>
      <c r="E30" s="3"/>
      <c r="F30" s="4" t="s">
        <v>1994</v>
      </c>
      <c r="G30" s="6">
        <v>0</v>
      </c>
      <c r="H30" s="6"/>
      <c r="I30" s="6">
        <v>5409.75</v>
      </c>
      <c r="J30" s="6"/>
      <c r="K30" s="3">
        <v>0</v>
      </c>
      <c r="L30" s="4" t="s">
        <v>1964</v>
      </c>
    </row>
    <row r="31" spans="1:12" x14ac:dyDescent="0.2">
      <c r="A31" s="3">
        <v>1100</v>
      </c>
      <c r="B31" s="4" t="s">
        <v>1964</v>
      </c>
      <c r="C31" s="5">
        <v>6072</v>
      </c>
      <c r="D31" s="4" t="s">
        <v>1981</v>
      </c>
      <c r="E31" s="3"/>
      <c r="F31" s="4" t="s">
        <v>1995</v>
      </c>
      <c r="G31" s="6">
        <v>559</v>
      </c>
      <c r="H31" s="6"/>
      <c r="I31" s="6">
        <v>6474</v>
      </c>
      <c r="J31" s="6"/>
      <c r="K31" s="3">
        <v>0</v>
      </c>
      <c r="L31" s="4" t="s">
        <v>1964</v>
      </c>
    </row>
    <row r="32" spans="1:12" x14ac:dyDescent="0.2">
      <c r="A32" s="3">
        <v>1100</v>
      </c>
      <c r="B32" s="4" t="s">
        <v>1964</v>
      </c>
      <c r="C32" s="5">
        <v>6090</v>
      </c>
      <c r="D32" s="4" t="s">
        <v>1981</v>
      </c>
      <c r="E32" s="3"/>
      <c r="F32" s="4" t="s">
        <v>1996</v>
      </c>
      <c r="G32" s="6">
        <v>29.92</v>
      </c>
      <c r="H32" s="6"/>
      <c r="I32" s="6">
        <v>241.2</v>
      </c>
      <c r="J32" s="6"/>
      <c r="K32" s="3">
        <v>0</v>
      </c>
      <c r="L32" s="4" t="s">
        <v>1964</v>
      </c>
    </row>
    <row r="33" spans="1:12" x14ac:dyDescent="0.2">
      <c r="A33" s="3">
        <v>1100</v>
      </c>
      <c r="B33" s="4" t="s">
        <v>1964</v>
      </c>
      <c r="C33" s="5">
        <v>6110</v>
      </c>
      <c r="D33" s="4" t="s">
        <v>1981</v>
      </c>
      <c r="E33" s="3"/>
      <c r="F33" s="4" t="s">
        <v>1997</v>
      </c>
      <c r="G33" s="6">
        <v>8655.1</v>
      </c>
      <c r="H33" s="6"/>
      <c r="I33" s="6">
        <v>99409.49</v>
      </c>
      <c r="J33" s="6"/>
      <c r="K33" s="3">
        <v>0</v>
      </c>
      <c r="L33" s="4" t="s">
        <v>1964</v>
      </c>
    </row>
    <row r="34" spans="1:12" x14ac:dyDescent="0.2">
      <c r="A34" s="3">
        <v>1100</v>
      </c>
      <c r="B34" s="4" t="s">
        <v>1964</v>
      </c>
      <c r="C34" s="5">
        <v>6120</v>
      </c>
      <c r="D34" s="4" t="s">
        <v>1981</v>
      </c>
      <c r="E34" s="3"/>
      <c r="F34" s="4" t="s">
        <v>1998</v>
      </c>
      <c r="G34" s="6">
        <v>0</v>
      </c>
      <c r="H34" s="6"/>
      <c r="I34" s="6">
        <v>1221.73</v>
      </c>
      <c r="J34" s="6"/>
      <c r="K34" s="3">
        <v>0</v>
      </c>
      <c r="L34" s="4" t="s">
        <v>1964</v>
      </c>
    </row>
    <row r="35" spans="1:12" x14ac:dyDescent="0.2">
      <c r="A35" s="3">
        <v>1100</v>
      </c>
      <c r="B35" s="4" t="s">
        <v>1964</v>
      </c>
      <c r="C35" s="5">
        <v>6130</v>
      </c>
      <c r="D35" s="4" t="s">
        <v>1981</v>
      </c>
      <c r="E35" s="3"/>
      <c r="F35" s="4" t="s">
        <v>1999</v>
      </c>
      <c r="G35" s="6">
        <v>589.37</v>
      </c>
      <c r="H35" s="6"/>
      <c r="I35" s="6">
        <v>6884.11</v>
      </c>
      <c r="J35" s="6"/>
      <c r="K35" s="3">
        <v>0</v>
      </c>
      <c r="L35" s="4" t="s">
        <v>1964</v>
      </c>
    </row>
    <row r="36" spans="1:12" x14ac:dyDescent="0.2">
      <c r="A36" s="3">
        <v>1100</v>
      </c>
      <c r="B36" s="4" t="s">
        <v>1964</v>
      </c>
      <c r="C36" s="5">
        <v>6140</v>
      </c>
      <c r="D36" s="4" t="s">
        <v>1981</v>
      </c>
      <c r="E36" s="3"/>
      <c r="F36" s="4" t="s">
        <v>2000</v>
      </c>
      <c r="G36" s="6">
        <v>754</v>
      </c>
      <c r="H36" s="6"/>
      <c r="I36" s="6">
        <v>8850.5</v>
      </c>
      <c r="J36" s="6"/>
      <c r="K36" s="3">
        <v>0</v>
      </c>
      <c r="L36" s="4" t="s">
        <v>1964</v>
      </c>
    </row>
    <row r="37" spans="1:12" x14ac:dyDescent="0.2">
      <c r="A37" s="3">
        <v>1100</v>
      </c>
      <c r="B37" s="4" t="s">
        <v>1964</v>
      </c>
      <c r="C37" s="5">
        <v>0</v>
      </c>
      <c r="D37" s="4" t="s">
        <v>1964</v>
      </c>
      <c r="E37" s="3"/>
      <c r="F37" s="4" t="s">
        <v>1964</v>
      </c>
      <c r="G37" s="6"/>
      <c r="H37" s="6"/>
      <c r="I37" s="6"/>
      <c r="J37" s="6"/>
      <c r="K37" s="3"/>
      <c r="L37" s="4" t="s">
        <v>1964</v>
      </c>
    </row>
    <row r="38" spans="1:12" x14ac:dyDescent="0.2">
      <c r="A38" s="3">
        <v>1150</v>
      </c>
      <c r="B38" s="4" t="s">
        <v>2001</v>
      </c>
      <c r="C38" s="5">
        <v>6400</v>
      </c>
      <c r="D38" s="4" t="s">
        <v>1981</v>
      </c>
      <c r="E38" s="3"/>
      <c r="F38" s="4" t="s">
        <v>2002</v>
      </c>
      <c r="G38" s="6">
        <v>509.9</v>
      </c>
      <c r="H38" s="6">
        <v>8134.82</v>
      </c>
      <c r="I38" s="6">
        <v>4059.4</v>
      </c>
      <c r="J38" s="6">
        <v>89299.95</v>
      </c>
      <c r="K38" s="3">
        <v>0</v>
      </c>
      <c r="L38" s="4" t="s">
        <v>1964</v>
      </c>
    </row>
    <row r="39" spans="1:12" x14ac:dyDescent="0.2">
      <c r="A39" s="3">
        <v>1150</v>
      </c>
      <c r="B39" s="4" t="s">
        <v>1964</v>
      </c>
      <c r="C39" s="5">
        <v>6420</v>
      </c>
      <c r="D39" s="4" t="s">
        <v>1981</v>
      </c>
      <c r="E39" s="3"/>
      <c r="F39" s="4" t="s">
        <v>2003</v>
      </c>
      <c r="G39" s="6">
        <v>0</v>
      </c>
      <c r="H39" s="6"/>
      <c r="I39" s="6">
        <v>300.56</v>
      </c>
      <c r="J39" s="6"/>
      <c r="K39" s="3">
        <v>0</v>
      </c>
      <c r="L39" s="4" t="s">
        <v>1964</v>
      </c>
    </row>
    <row r="40" spans="1:12" x14ac:dyDescent="0.2">
      <c r="A40" s="3">
        <v>1150</v>
      </c>
      <c r="B40" s="4" t="s">
        <v>1964</v>
      </c>
      <c r="C40" s="5">
        <v>6421</v>
      </c>
      <c r="D40" s="4" t="s">
        <v>1981</v>
      </c>
      <c r="E40" s="3"/>
      <c r="F40" s="4" t="s">
        <v>2004</v>
      </c>
      <c r="G40" s="6">
        <v>0</v>
      </c>
      <c r="H40" s="6"/>
      <c r="I40" s="6">
        <v>2776.91</v>
      </c>
      <c r="J40" s="6"/>
      <c r="K40" s="3">
        <v>0</v>
      </c>
      <c r="L40" s="4" t="s">
        <v>1964</v>
      </c>
    </row>
    <row r="41" spans="1:12" x14ac:dyDescent="0.2">
      <c r="A41" s="3">
        <v>1150</v>
      </c>
      <c r="B41" s="4" t="s">
        <v>1964</v>
      </c>
      <c r="C41" s="5">
        <v>6423</v>
      </c>
      <c r="D41" s="4" t="s">
        <v>1981</v>
      </c>
      <c r="E41" s="3"/>
      <c r="F41" s="4" t="s">
        <v>2005</v>
      </c>
      <c r="G41" s="6">
        <v>0</v>
      </c>
      <c r="H41" s="6"/>
      <c r="I41" s="6">
        <v>1800</v>
      </c>
      <c r="J41" s="6"/>
      <c r="K41" s="3">
        <v>0</v>
      </c>
      <c r="L41" s="4" t="s">
        <v>1964</v>
      </c>
    </row>
    <row r="42" spans="1:12" x14ac:dyDescent="0.2">
      <c r="A42" s="3">
        <v>1150</v>
      </c>
      <c r="B42" s="4" t="s">
        <v>1964</v>
      </c>
      <c r="C42" s="5">
        <v>6425</v>
      </c>
      <c r="D42" s="4" t="s">
        <v>1981</v>
      </c>
      <c r="E42" s="3"/>
      <c r="F42" s="4" t="s">
        <v>2006</v>
      </c>
      <c r="G42" s="6">
        <v>7624.92</v>
      </c>
      <c r="H42" s="6"/>
      <c r="I42" s="6">
        <v>80363.08</v>
      </c>
      <c r="J42" s="6"/>
      <c r="K42" s="3">
        <v>0</v>
      </c>
      <c r="L42" s="4" t="s">
        <v>1964</v>
      </c>
    </row>
    <row r="43" spans="1:12" x14ac:dyDescent="0.2">
      <c r="A43" s="3">
        <v>1150</v>
      </c>
      <c r="B43" s="4" t="s">
        <v>1964</v>
      </c>
      <c r="C43" s="5">
        <v>0</v>
      </c>
      <c r="D43" s="4" t="s">
        <v>1964</v>
      </c>
      <c r="E43" s="3"/>
      <c r="F43" s="4" t="s">
        <v>1964</v>
      </c>
      <c r="G43" s="6"/>
      <c r="H43" s="6"/>
      <c r="I43" s="6"/>
      <c r="J43" s="6"/>
      <c r="K43" s="3"/>
      <c r="L43" s="4" t="s">
        <v>1964</v>
      </c>
    </row>
    <row r="44" spans="1:12" x14ac:dyDescent="0.2">
      <c r="A44" s="3">
        <v>1180</v>
      </c>
      <c r="B44" s="4" t="s">
        <v>2007</v>
      </c>
      <c r="C44" s="5">
        <v>6530</v>
      </c>
      <c r="D44" s="4" t="s">
        <v>1981</v>
      </c>
      <c r="E44" s="3"/>
      <c r="F44" s="4" t="s">
        <v>2008</v>
      </c>
      <c r="G44" s="6">
        <v>1415.83</v>
      </c>
      <c r="H44" s="6">
        <v>1415.83</v>
      </c>
      <c r="I44" s="6">
        <v>20955.98</v>
      </c>
      <c r="J44" s="6">
        <v>20955.98</v>
      </c>
      <c r="K44" s="3">
        <v>0</v>
      </c>
      <c r="L44" s="4" t="s">
        <v>1964</v>
      </c>
    </row>
    <row r="45" spans="1:12" x14ac:dyDescent="0.2">
      <c r="A45" s="3">
        <v>1180</v>
      </c>
      <c r="B45" s="4" t="s">
        <v>1964</v>
      </c>
      <c r="C45" s="5">
        <v>0</v>
      </c>
      <c r="D45" s="4" t="s">
        <v>1964</v>
      </c>
      <c r="E45" s="3"/>
      <c r="F45" s="4" t="s">
        <v>1964</v>
      </c>
      <c r="G45" s="6"/>
      <c r="H45" s="6"/>
      <c r="I45" s="6"/>
      <c r="J45" s="6"/>
      <c r="K45" s="3"/>
      <c r="L45" s="4" t="s">
        <v>1964</v>
      </c>
    </row>
    <row r="46" spans="1:12" x14ac:dyDescent="0.2">
      <c r="A46" s="3">
        <v>1200</v>
      </c>
      <c r="B46" s="4" t="s">
        <v>2009</v>
      </c>
      <c r="C46" s="5">
        <v>6601</v>
      </c>
      <c r="D46" s="4" t="s">
        <v>1981</v>
      </c>
      <c r="E46" s="3"/>
      <c r="F46" s="4" t="s">
        <v>2010</v>
      </c>
      <c r="G46" s="6">
        <v>0</v>
      </c>
      <c r="H46" s="6">
        <v>1270.9000000000001</v>
      </c>
      <c r="I46" s="6">
        <v>1289.79</v>
      </c>
      <c r="J46" s="6">
        <v>23426.13</v>
      </c>
      <c r="K46" s="3">
        <v>0</v>
      </c>
      <c r="L46" s="4" t="s">
        <v>1964</v>
      </c>
    </row>
    <row r="47" spans="1:12" x14ac:dyDescent="0.2">
      <c r="A47" s="3">
        <v>1200</v>
      </c>
      <c r="B47" s="4" t="s">
        <v>1964</v>
      </c>
      <c r="C47" s="5">
        <v>6603</v>
      </c>
      <c r="D47" s="4" t="s">
        <v>1981</v>
      </c>
      <c r="E47" s="3"/>
      <c r="F47" s="4" t="s">
        <v>2011</v>
      </c>
      <c r="G47" s="6">
        <v>0</v>
      </c>
      <c r="H47" s="6"/>
      <c r="I47" s="6">
        <v>6933.18</v>
      </c>
      <c r="J47" s="6"/>
      <c r="K47" s="3">
        <v>0</v>
      </c>
      <c r="L47" s="4" t="s">
        <v>1964</v>
      </c>
    </row>
    <row r="48" spans="1:12" x14ac:dyDescent="0.2">
      <c r="A48" s="3">
        <v>1200</v>
      </c>
      <c r="B48" s="4" t="s">
        <v>1964</v>
      </c>
      <c r="C48" s="5">
        <v>6605</v>
      </c>
      <c r="D48" s="4" t="s">
        <v>1981</v>
      </c>
      <c r="E48" s="3"/>
      <c r="F48" s="4" t="s">
        <v>2012</v>
      </c>
      <c r="G48" s="6">
        <v>0</v>
      </c>
      <c r="H48" s="6"/>
      <c r="I48" s="6">
        <v>2561.6</v>
      </c>
      <c r="J48" s="6"/>
      <c r="K48" s="3">
        <v>0</v>
      </c>
      <c r="L48" s="4" t="s">
        <v>1964</v>
      </c>
    </row>
    <row r="49" spans="1:12" x14ac:dyDescent="0.2">
      <c r="A49" s="3">
        <v>1200</v>
      </c>
      <c r="B49" s="4" t="s">
        <v>1964</v>
      </c>
      <c r="C49" s="5">
        <v>6610</v>
      </c>
      <c r="D49" s="4" t="s">
        <v>1981</v>
      </c>
      <c r="E49" s="3"/>
      <c r="F49" s="4" t="s">
        <v>2013</v>
      </c>
      <c r="G49" s="6">
        <v>187.77</v>
      </c>
      <c r="H49" s="6"/>
      <c r="I49" s="6">
        <v>4954.8999999999996</v>
      </c>
      <c r="J49" s="6"/>
      <c r="K49" s="3">
        <v>0</v>
      </c>
      <c r="L49" s="4" t="s">
        <v>1964</v>
      </c>
    </row>
    <row r="50" spans="1:12" x14ac:dyDescent="0.2">
      <c r="A50" s="3">
        <v>1200</v>
      </c>
      <c r="B50" s="4" t="s">
        <v>1964</v>
      </c>
      <c r="C50" s="5">
        <v>6621</v>
      </c>
      <c r="D50" s="4" t="s">
        <v>1981</v>
      </c>
      <c r="E50" s="3"/>
      <c r="F50" s="4" t="s">
        <v>2014</v>
      </c>
      <c r="G50" s="6">
        <v>715.74</v>
      </c>
      <c r="H50" s="6"/>
      <c r="I50" s="6">
        <v>783.51</v>
      </c>
      <c r="J50" s="6"/>
      <c r="K50" s="3">
        <v>0</v>
      </c>
      <c r="L50" s="4" t="s">
        <v>1964</v>
      </c>
    </row>
    <row r="51" spans="1:12" x14ac:dyDescent="0.2">
      <c r="A51" s="3">
        <v>1200</v>
      </c>
      <c r="B51" s="4" t="s">
        <v>1964</v>
      </c>
      <c r="C51" s="5">
        <v>6640</v>
      </c>
      <c r="D51" s="4" t="s">
        <v>1981</v>
      </c>
      <c r="E51" s="3"/>
      <c r="F51" s="4" t="s">
        <v>2015</v>
      </c>
      <c r="G51" s="6">
        <v>0</v>
      </c>
      <c r="H51" s="6"/>
      <c r="I51" s="6">
        <v>667.66</v>
      </c>
      <c r="J51" s="6"/>
      <c r="K51" s="3">
        <v>0</v>
      </c>
      <c r="L51" s="4" t="s">
        <v>1964</v>
      </c>
    </row>
    <row r="52" spans="1:12" x14ac:dyDescent="0.2">
      <c r="A52" s="3">
        <v>1200</v>
      </c>
      <c r="B52" s="4" t="s">
        <v>1964</v>
      </c>
      <c r="C52" s="5">
        <v>6643</v>
      </c>
      <c r="D52" s="4" t="s">
        <v>1981</v>
      </c>
      <c r="E52" s="3"/>
      <c r="F52" s="4" t="s">
        <v>2016</v>
      </c>
      <c r="G52" s="6">
        <v>330.42</v>
      </c>
      <c r="H52" s="6"/>
      <c r="I52" s="6">
        <v>1166.02</v>
      </c>
      <c r="J52" s="6"/>
      <c r="K52" s="3">
        <v>0</v>
      </c>
      <c r="L52" s="4" t="s">
        <v>1964</v>
      </c>
    </row>
    <row r="53" spans="1:12" x14ac:dyDescent="0.2">
      <c r="A53" s="3">
        <v>1200</v>
      </c>
      <c r="B53" s="4" t="s">
        <v>1964</v>
      </c>
      <c r="C53" s="5">
        <v>6644</v>
      </c>
      <c r="D53" s="4" t="s">
        <v>1981</v>
      </c>
      <c r="E53" s="3"/>
      <c r="F53" s="4" t="s">
        <v>2017</v>
      </c>
      <c r="G53" s="6">
        <v>0</v>
      </c>
      <c r="H53" s="6"/>
      <c r="I53" s="6">
        <v>286.14</v>
      </c>
      <c r="J53" s="6"/>
      <c r="K53" s="3">
        <v>0</v>
      </c>
      <c r="L53" s="4" t="s">
        <v>1964</v>
      </c>
    </row>
    <row r="54" spans="1:12" x14ac:dyDescent="0.2">
      <c r="A54" s="3">
        <v>1200</v>
      </c>
      <c r="B54" s="4" t="s">
        <v>1964</v>
      </c>
      <c r="C54" s="5">
        <v>6645</v>
      </c>
      <c r="D54" s="4" t="s">
        <v>1981</v>
      </c>
      <c r="E54" s="3"/>
      <c r="F54" s="4" t="s">
        <v>2018</v>
      </c>
      <c r="G54" s="6">
        <v>0</v>
      </c>
      <c r="H54" s="6"/>
      <c r="I54" s="6">
        <v>74.540000000000006</v>
      </c>
      <c r="J54" s="6"/>
      <c r="K54" s="3">
        <v>0</v>
      </c>
      <c r="L54" s="4" t="s">
        <v>1964</v>
      </c>
    </row>
    <row r="55" spans="1:12" x14ac:dyDescent="0.2">
      <c r="A55" s="3">
        <v>1200</v>
      </c>
      <c r="B55" s="4" t="s">
        <v>1964</v>
      </c>
      <c r="C55" s="5">
        <v>6650</v>
      </c>
      <c r="D55" s="4" t="s">
        <v>1981</v>
      </c>
      <c r="E55" s="3"/>
      <c r="F55" s="4" t="s">
        <v>2019</v>
      </c>
      <c r="G55" s="6">
        <v>0</v>
      </c>
      <c r="H55" s="6"/>
      <c r="I55" s="6">
        <v>29.37</v>
      </c>
      <c r="J55" s="6"/>
      <c r="K55" s="3">
        <v>0</v>
      </c>
      <c r="L55" s="4" t="s">
        <v>1964</v>
      </c>
    </row>
    <row r="56" spans="1:12" x14ac:dyDescent="0.2">
      <c r="A56" s="3">
        <v>1200</v>
      </c>
      <c r="B56" s="4" t="s">
        <v>1964</v>
      </c>
      <c r="C56" s="5">
        <v>6652</v>
      </c>
      <c r="D56" s="4" t="s">
        <v>1981</v>
      </c>
      <c r="E56" s="3"/>
      <c r="F56" s="4" t="s">
        <v>2020</v>
      </c>
      <c r="G56" s="6">
        <v>36.97</v>
      </c>
      <c r="H56" s="6"/>
      <c r="I56" s="6">
        <v>135.91999999999999</v>
      </c>
      <c r="J56" s="6"/>
      <c r="K56" s="3">
        <v>0</v>
      </c>
      <c r="L56" s="4" t="s">
        <v>1964</v>
      </c>
    </row>
    <row r="57" spans="1:12" x14ac:dyDescent="0.2">
      <c r="A57" s="3">
        <v>1200</v>
      </c>
      <c r="B57" s="4" t="s">
        <v>1964</v>
      </c>
      <c r="C57" s="5">
        <v>6660</v>
      </c>
      <c r="D57" s="4" t="s">
        <v>1981</v>
      </c>
      <c r="E57" s="3"/>
      <c r="F57" s="4" t="s">
        <v>2021</v>
      </c>
      <c r="G57" s="6">
        <v>0</v>
      </c>
      <c r="H57" s="6"/>
      <c r="I57" s="6">
        <v>2488.3000000000002</v>
      </c>
      <c r="J57" s="6"/>
      <c r="K57" s="3">
        <v>0</v>
      </c>
      <c r="L57" s="4" t="s">
        <v>1964</v>
      </c>
    </row>
    <row r="58" spans="1:12" x14ac:dyDescent="0.2">
      <c r="A58" s="3">
        <v>1200</v>
      </c>
      <c r="B58" s="4" t="s">
        <v>1964</v>
      </c>
      <c r="C58" s="5">
        <v>6662</v>
      </c>
      <c r="D58" s="4" t="s">
        <v>1981</v>
      </c>
      <c r="E58" s="3"/>
      <c r="F58" s="4" t="s">
        <v>2022</v>
      </c>
      <c r="G58" s="6">
        <v>0</v>
      </c>
      <c r="H58" s="6"/>
      <c r="I58" s="6">
        <v>1688.8</v>
      </c>
      <c r="J58" s="6"/>
      <c r="K58" s="3">
        <v>0</v>
      </c>
      <c r="L58" s="4" t="s">
        <v>1964</v>
      </c>
    </row>
    <row r="59" spans="1:12" x14ac:dyDescent="0.2">
      <c r="A59" s="3">
        <v>1200</v>
      </c>
      <c r="B59" s="4" t="s">
        <v>1964</v>
      </c>
      <c r="C59" s="5">
        <v>6663</v>
      </c>
      <c r="D59" s="4" t="s">
        <v>1981</v>
      </c>
      <c r="E59" s="3"/>
      <c r="F59" s="4" t="s">
        <v>2023</v>
      </c>
      <c r="G59" s="6">
        <v>0</v>
      </c>
      <c r="H59" s="6"/>
      <c r="I59" s="6">
        <v>148.6</v>
      </c>
      <c r="J59" s="6"/>
      <c r="K59" s="3">
        <v>0</v>
      </c>
      <c r="L59" s="4" t="s">
        <v>1964</v>
      </c>
    </row>
    <row r="60" spans="1:12" x14ac:dyDescent="0.2">
      <c r="A60" s="3">
        <v>1200</v>
      </c>
      <c r="B60" s="4" t="s">
        <v>1964</v>
      </c>
      <c r="C60" s="5">
        <v>6664</v>
      </c>
      <c r="D60" s="4" t="s">
        <v>1981</v>
      </c>
      <c r="E60" s="3"/>
      <c r="F60" s="4" t="s">
        <v>2024</v>
      </c>
      <c r="G60" s="6">
        <v>0</v>
      </c>
      <c r="H60" s="6"/>
      <c r="I60" s="6">
        <v>217.8</v>
      </c>
      <c r="J60" s="6"/>
      <c r="K60" s="3">
        <v>0</v>
      </c>
      <c r="L60" s="4" t="s">
        <v>1964</v>
      </c>
    </row>
    <row r="61" spans="1:12" x14ac:dyDescent="0.2">
      <c r="A61" s="3">
        <v>1200</v>
      </c>
      <c r="B61" s="4" t="s">
        <v>1964</v>
      </c>
      <c r="C61" s="5">
        <v>0</v>
      </c>
      <c r="D61" s="4" t="s">
        <v>1964</v>
      </c>
      <c r="E61" s="3"/>
      <c r="F61" s="4" t="s">
        <v>1964</v>
      </c>
      <c r="G61" s="6"/>
      <c r="H61" s="6"/>
      <c r="I61" s="6"/>
      <c r="J61" s="6"/>
      <c r="K61" s="3"/>
      <c r="L61" s="4" t="s">
        <v>1964</v>
      </c>
    </row>
    <row r="62" spans="1:12" x14ac:dyDescent="0.2">
      <c r="A62" s="3">
        <v>1220</v>
      </c>
      <c r="B62" s="4" t="s">
        <v>2025</v>
      </c>
      <c r="C62" s="5">
        <v>6780</v>
      </c>
      <c r="D62" s="4" t="s">
        <v>1981</v>
      </c>
      <c r="E62" s="3"/>
      <c r="F62" s="4" t="s">
        <v>2026</v>
      </c>
      <c r="G62" s="6">
        <v>31111.11</v>
      </c>
      <c r="H62" s="6">
        <v>40808.74</v>
      </c>
      <c r="I62" s="6">
        <v>325002.99</v>
      </c>
      <c r="J62" s="6">
        <v>577945.42000000004</v>
      </c>
      <c r="K62" s="3">
        <v>0</v>
      </c>
      <c r="L62" s="4" t="s">
        <v>1964</v>
      </c>
    </row>
    <row r="63" spans="1:12" x14ac:dyDescent="0.2">
      <c r="A63" s="3">
        <v>1220</v>
      </c>
      <c r="B63" s="4" t="s">
        <v>1964</v>
      </c>
      <c r="C63" s="5">
        <v>6781</v>
      </c>
      <c r="D63" s="4" t="s">
        <v>1981</v>
      </c>
      <c r="E63" s="3"/>
      <c r="F63" s="4" t="s">
        <v>2027</v>
      </c>
      <c r="G63" s="6">
        <v>7958.63</v>
      </c>
      <c r="H63" s="6"/>
      <c r="I63" s="6">
        <v>83291.179999999993</v>
      </c>
      <c r="J63" s="6"/>
      <c r="K63" s="3">
        <v>0</v>
      </c>
      <c r="L63" s="4" t="s">
        <v>1964</v>
      </c>
    </row>
    <row r="64" spans="1:12" x14ac:dyDescent="0.2">
      <c r="A64" s="3">
        <v>1220</v>
      </c>
      <c r="B64" s="4" t="s">
        <v>1964</v>
      </c>
      <c r="C64" s="5">
        <v>6782</v>
      </c>
      <c r="D64" s="4" t="s">
        <v>1981</v>
      </c>
      <c r="E64" s="3"/>
      <c r="F64" s="4" t="s">
        <v>2028</v>
      </c>
      <c r="G64" s="6">
        <v>1739</v>
      </c>
      <c r="H64" s="6"/>
      <c r="I64" s="6">
        <v>169651.25</v>
      </c>
      <c r="J64" s="6"/>
      <c r="K64" s="3">
        <v>0</v>
      </c>
      <c r="L64" s="4" t="s">
        <v>1964</v>
      </c>
    </row>
    <row r="65" spans="1:12" x14ac:dyDescent="0.2">
      <c r="A65" s="3">
        <v>1220</v>
      </c>
      <c r="B65" s="4" t="s">
        <v>1964</v>
      </c>
      <c r="C65" s="5">
        <v>0</v>
      </c>
      <c r="D65" s="4" t="s">
        <v>1964</v>
      </c>
      <c r="E65" s="3"/>
      <c r="F65" s="4" t="s">
        <v>1964</v>
      </c>
      <c r="G65" s="6"/>
      <c r="H65" s="6"/>
      <c r="I65" s="6"/>
      <c r="J65" s="6"/>
      <c r="K65" s="3"/>
      <c r="L65" s="4" t="s">
        <v>1964</v>
      </c>
    </row>
    <row r="66" spans="1:12" x14ac:dyDescent="0.2">
      <c r="A66" s="3">
        <v>1240</v>
      </c>
      <c r="B66" s="4" t="s">
        <v>2029</v>
      </c>
      <c r="C66" s="5">
        <v>6201</v>
      </c>
      <c r="D66" s="4" t="s">
        <v>1981</v>
      </c>
      <c r="E66" s="3"/>
      <c r="F66" s="4" t="s">
        <v>2030</v>
      </c>
      <c r="G66" s="6">
        <v>15726.33</v>
      </c>
      <c r="H66" s="6">
        <v>16358.26</v>
      </c>
      <c r="I66" s="6">
        <v>188715.96</v>
      </c>
      <c r="J66" s="6">
        <v>195361.89</v>
      </c>
      <c r="K66" s="3">
        <v>0</v>
      </c>
      <c r="L66" s="4" t="s">
        <v>1964</v>
      </c>
    </row>
    <row r="67" spans="1:12" x14ac:dyDescent="0.2">
      <c r="A67" s="3">
        <v>1240</v>
      </c>
      <c r="B67" s="4" t="s">
        <v>1964</v>
      </c>
      <c r="C67" s="5">
        <v>6220</v>
      </c>
      <c r="D67" s="4" t="s">
        <v>1981</v>
      </c>
      <c r="E67" s="3"/>
      <c r="F67" s="4" t="s">
        <v>2031</v>
      </c>
      <c r="G67" s="6">
        <v>70</v>
      </c>
      <c r="H67" s="6"/>
      <c r="I67" s="6">
        <v>840</v>
      </c>
      <c r="J67" s="6"/>
      <c r="K67" s="3">
        <v>0</v>
      </c>
      <c r="L67" s="4" t="s">
        <v>1964</v>
      </c>
    </row>
    <row r="68" spans="1:12" x14ac:dyDescent="0.2">
      <c r="A68" s="3">
        <v>1240</v>
      </c>
      <c r="B68" s="4" t="s">
        <v>1964</v>
      </c>
      <c r="C68" s="5">
        <v>6280</v>
      </c>
      <c r="D68" s="4" t="s">
        <v>1981</v>
      </c>
      <c r="E68" s="3"/>
      <c r="F68" s="4" t="s">
        <v>2032</v>
      </c>
      <c r="G68" s="6">
        <v>561.92999999999995</v>
      </c>
      <c r="H68" s="6"/>
      <c r="I68" s="6">
        <v>561.92999999999995</v>
      </c>
      <c r="J68" s="6"/>
      <c r="K68" s="3">
        <v>0</v>
      </c>
      <c r="L68" s="4" t="s">
        <v>1964</v>
      </c>
    </row>
    <row r="69" spans="1:12" x14ac:dyDescent="0.2">
      <c r="A69" s="3">
        <v>1240</v>
      </c>
      <c r="B69" s="4" t="s">
        <v>1964</v>
      </c>
      <c r="C69" s="5">
        <v>6936</v>
      </c>
      <c r="D69" s="4" t="s">
        <v>1981</v>
      </c>
      <c r="E69" s="3"/>
      <c r="F69" s="4" t="s">
        <v>2033</v>
      </c>
      <c r="G69" s="6">
        <v>0</v>
      </c>
      <c r="H69" s="6"/>
      <c r="I69" s="6">
        <v>5244</v>
      </c>
      <c r="J69" s="6"/>
      <c r="K69" s="3">
        <v>0</v>
      </c>
      <c r="L69" s="4" t="s">
        <v>1964</v>
      </c>
    </row>
    <row r="70" spans="1:12" x14ac:dyDescent="0.2">
      <c r="A70" s="3">
        <v>1240</v>
      </c>
      <c r="B70" s="4" t="s">
        <v>1964</v>
      </c>
      <c r="C70" s="5">
        <v>0</v>
      </c>
      <c r="D70" s="4" t="s">
        <v>1964</v>
      </c>
      <c r="E70" s="3"/>
      <c r="F70" s="4" t="s">
        <v>1964</v>
      </c>
      <c r="G70" s="6"/>
      <c r="H70" s="6"/>
      <c r="I70" s="6"/>
      <c r="J70" s="6"/>
      <c r="K70" s="3"/>
      <c r="L70" s="4" t="s">
        <v>1964</v>
      </c>
    </row>
    <row r="71" spans="1:12" x14ac:dyDescent="0.2">
      <c r="A71" s="3">
        <v>1260</v>
      </c>
      <c r="B71" s="4" t="s">
        <v>2034</v>
      </c>
      <c r="C71" s="5">
        <v>6303</v>
      </c>
      <c r="D71" s="4" t="s">
        <v>1981</v>
      </c>
      <c r="E71" s="3"/>
      <c r="F71" s="4" t="s">
        <v>2035</v>
      </c>
      <c r="G71" s="6">
        <v>12400</v>
      </c>
      <c r="H71" s="6">
        <v>43962.28</v>
      </c>
      <c r="I71" s="6">
        <v>148800</v>
      </c>
      <c r="J71" s="6">
        <v>428128.9</v>
      </c>
      <c r="K71" s="3">
        <v>0</v>
      </c>
      <c r="L71" s="4" t="s">
        <v>1964</v>
      </c>
    </row>
    <row r="72" spans="1:12" x14ac:dyDescent="0.2">
      <c r="A72" s="3">
        <v>1260</v>
      </c>
      <c r="B72" s="4" t="s">
        <v>1964</v>
      </c>
      <c r="C72" s="5">
        <v>6800</v>
      </c>
      <c r="D72" s="4" t="s">
        <v>1981</v>
      </c>
      <c r="E72" s="3"/>
      <c r="F72" s="4" t="s">
        <v>2036</v>
      </c>
      <c r="G72" s="6">
        <v>210.44</v>
      </c>
      <c r="H72" s="6"/>
      <c r="I72" s="6">
        <v>339.38</v>
      </c>
      <c r="J72" s="6"/>
      <c r="K72" s="3">
        <v>0</v>
      </c>
      <c r="L72" s="4" t="s">
        <v>1964</v>
      </c>
    </row>
    <row r="73" spans="1:12" x14ac:dyDescent="0.2">
      <c r="A73" s="3">
        <v>1260</v>
      </c>
      <c r="B73" s="4" t="s">
        <v>1964</v>
      </c>
      <c r="C73" s="5">
        <v>6805</v>
      </c>
      <c r="D73" s="4" t="s">
        <v>1981</v>
      </c>
      <c r="E73" s="3"/>
      <c r="F73" s="4" t="s">
        <v>2037</v>
      </c>
      <c r="G73" s="6">
        <v>828.22</v>
      </c>
      <c r="H73" s="6"/>
      <c r="I73" s="6">
        <v>11137.98</v>
      </c>
      <c r="J73" s="6"/>
      <c r="K73" s="3">
        <v>0</v>
      </c>
      <c r="L73" s="4" t="s">
        <v>1964</v>
      </c>
    </row>
    <row r="74" spans="1:12" x14ac:dyDescent="0.2">
      <c r="A74" s="3">
        <v>1260</v>
      </c>
      <c r="B74" s="4" t="s">
        <v>1964</v>
      </c>
      <c r="C74" s="5">
        <v>6811</v>
      </c>
      <c r="D74" s="4" t="s">
        <v>1981</v>
      </c>
      <c r="E74" s="3"/>
      <c r="F74" s="4" t="s">
        <v>2038</v>
      </c>
      <c r="G74" s="6">
        <v>8348.0300000000007</v>
      </c>
      <c r="H74" s="6"/>
      <c r="I74" s="6">
        <v>74519.44</v>
      </c>
      <c r="J74" s="6"/>
      <c r="K74" s="3">
        <v>0</v>
      </c>
      <c r="L74" s="4" t="s">
        <v>1964</v>
      </c>
    </row>
    <row r="75" spans="1:12" x14ac:dyDescent="0.2">
      <c r="A75" s="3">
        <v>1260</v>
      </c>
      <c r="B75" s="4" t="s">
        <v>1964</v>
      </c>
      <c r="C75" s="5">
        <v>6815</v>
      </c>
      <c r="D75" s="4" t="s">
        <v>1981</v>
      </c>
      <c r="E75" s="3"/>
      <c r="F75" s="4" t="s">
        <v>2039</v>
      </c>
      <c r="G75" s="6">
        <v>10.91</v>
      </c>
      <c r="H75" s="6"/>
      <c r="I75" s="6">
        <v>27.85</v>
      </c>
      <c r="J75" s="6"/>
      <c r="K75" s="3">
        <v>0</v>
      </c>
      <c r="L75" s="4" t="s">
        <v>1964</v>
      </c>
    </row>
    <row r="76" spans="1:12" x14ac:dyDescent="0.2">
      <c r="A76" s="3">
        <v>1260</v>
      </c>
      <c r="B76" s="4" t="s">
        <v>1964</v>
      </c>
      <c r="C76" s="5">
        <v>6821</v>
      </c>
      <c r="D76" s="4" t="s">
        <v>1981</v>
      </c>
      <c r="E76" s="3"/>
      <c r="F76" s="4" t="s">
        <v>2040</v>
      </c>
      <c r="G76" s="6">
        <v>225</v>
      </c>
      <c r="H76" s="6"/>
      <c r="I76" s="6">
        <v>450</v>
      </c>
      <c r="J76" s="6"/>
      <c r="K76" s="3">
        <v>0</v>
      </c>
      <c r="L76" s="4" t="s">
        <v>1964</v>
      </c>
    </row>
    <row r="77" spans="1:12" x14ac:dyDescent="0.2">
      <c r="A77" s="3">
        <v>1260</v>
      </c>
      <c r="B77" s="4" t="s">
        <v>1964</v>
      </c>
      <c r="C77" s="5">
        <v>6825</v>
      </c>
      <c r="D77" s="4" t="s">
        <v>1981</v>
      </c>
      <c r="E77" s="3"/>
      <c r="F77" s="4" t="s">
        <v>2041</v>
      </c>
      <c r="G77" s="6">
        <v>903.3</v>
      </c>
      <c r="H77" s="6"/>
      <c r="I77" s="6">
        <v>9277.1</v>
      </c>
      <c r="J77" s="6"/>
      <c r="K77" s="3">
        <v>0</v>
      </c>
      <c r="L77" s="4" t="s">
        <v>1964</v>
      </c>
    </row>
    <row r="78" spans="1:12" x14ac:dyDescent="0.2">
      <c r="A78" s="3">
        <v>1260</v>
      </c>
      <c r="B78" s="4" t="s">
        <v>1964</v>
      </c>
      <c r="C78" s="5">
        <v>6826</v>
      </c>
      <c r="D78" s="4" t="s">
        <v>1981</v>
      </c>
      <c r="E78" s="3"/>
      <c r="F78" s="4" t="s">
        <v>2042</v>
      </c>
      <c r="G78" s="6">
        <v>16583.37</v>
      </c>
      <c r="H78" s="6"/>
      <c r="I78" s="6">
        <v>141106.79</v>
      </c>
      <c r="J78" s="6"/>
      <c r="K78" s="3">
        <v>0</v>
      </c>
      <c r="L78" s="4" t="s">
        <v>1964</v>
      </c>
    </row>
    <row r="79" spans="1:12" x14ac:dyDescent="0.2">
      <c r="A79" s="3">
        <v>1260</v>
      </c>
      <c r="B79" s="4" t="s">
        <v>1964</v>
      </c>
      <c r="C79" s="5">
        <v>6827</v>
      </c>
      <c r="D79" s="4" t="s">
        <v>1981</v>
      </c>
      <c r="E79" s="3"/>
      <c r="F79" s="4" t="s">
        <v>2043</v>
      </c>
      <c r="G79" s="6">
        <v>580</v>
      </c>
      <c r="H79" s="6"/>
      <c r="I79" s="6">
        <v>7049.1</v>
      </c>
      <c r="J79" s="6"/>
      <c r="K79" s="3">
        <v>0</v>
      </c>
      <c r="L79" s="4" t="s">
        <v>1964</v>
      </c>
    </row>
    <row r="80" spans="1:12" x14ac:dyDescent="0.2">
      <c r="A80" s="3">
        <v>1260</v>
      </c>
      <c r="B80" s="4" t="s">
        <v>1964</v>
      </c>
      <c r="C80" s="5">
        <v>6830</v>
      </c>
      <c r="D80" s="4" t="s">
        <v>1981</v>
      </c>
      <c r="E80" s="3"/>
      <c r="F80" s="4" t="s">
        <v>2044</v>
      </c>
      <c r="G80" s="6">
        <v>1900</v>
      </c>
      <c r="H80" s="6"/>
      <c r="I80" s="6">
        <v>22800</v>
      </c>
      <c r="J80" s="6"/>
      <c r="K80" s="3">
        <v>0</v>
      </c>
      <c r="L80" s="4" t="s">
        <v>1964</v>
      </c>
    </row>
    <row r="81" spans="1:12" x14ac:dyDescent="0.2">
      <c r="A81" s="3">
        <v>1260</v>
      </c>
      <c r="B81" s="4" t="s">
        <v>1964</v>
      </c>
      <c r="C81" s="5">
        <v>6850</v>
      </c>
      <c r="D81" s="4" t="s">
        <v>1981</v>
      </c>
      <c r="E81" s="3"/>
      <c r="F81" s="4" t="s">
        <v>2045</v>
      </c>
      <c r="G81" s="6">
        <v>100</v>
      </c>
      <c r="H81" s="6"/>
      <c r="I81" s="6">
        <v>1200</v>
      </c>
      <c r="J81" s="6"/>
      <c r="K81" s="3">
        <v>0</v>
      </c>
      <c r="L81" s="4" t="s">
        <v>1964</v>
      </c>
    </row>
    <row r="82" spans="1:12" x14ac:dyDescent="0.2">
      <c r="A82" s="3">
        <v>1260</v>
      </c>
      <c r="B82" s="4" t="s">
        <v>1964</v>
      </c>
      <c r="C82" s="5">
        <v>6852</v>
      </c>
      <c r="D82" s="4" t="s">
        <v>1981</v>
      </c>
      <c r="E82" s="3"/>
      <c r="F82" s="4" t="s">
        <v>2046</v>
      </c>
      <c r="G82" s="6">
        <v>114</v>
      </c>
      <c r="H82" s="6"/>
      <c r="I82" s="6">
        <v>532.65</v>
      </c>
      <c r="J82" s="6"/>
      <c r="K82" s="3">
        <v>0</v>
      </c>
      <c r="L82" s="4" t="s">
        <v>1964</v>
      </c>
    </row>
    <row r="83" spans="1:12" x14ac:dyDescent="0.2">
      <c r="A83" s="3">
        <v>1260</v>
      </c>
      <c r="B83" s="4" t="s">
        <v>1964</v>
      </c>
      <c r="C83" s="5">
        <v>6855</v>
      </c>
      <c r="D83" s="4" t="s">
        <v>1981</v>
      </c>
      <c r="E83" s="3"/>
      <c r="F83" s="4" t="s">
        <v>2047</v>
      </c>
      <c r="G83" s="6">
        <v>1759.01</v>
      </c>
      <c r="H83" s="6"/>
      <c r="I83" s="6">
        <v>10672.12</v>
      </c>
      <c r="J83" s="6"/>
      <c r="K83" s="3">
        <v>0</v>
      </c>
      <c r="L83" s="4" t="s">
        <v>1964</v>
      </c>
    </row>
    <row r="84" spans="1:12" x14ac:dyDescent="0.2">
      <c r="A84" s="3">
        <v>1260</v>
      </c>
      <c r="B84" s="4" t="s">
        <v>1964</v>
      </c>
      <c r="C84" s="5">
        <v>6880</v>
      </c>
      <c r="D84" s="4" t="s">
        <v>1981</v>
      </c>
      <c r="E84" s="3"/>
      <c r="F84" s="4" t="s">
        <v>2048</v>
      </c>
      <c r="G84" s="6">
        <v>0</v>
      </c>
      <c r="H84" s="6"/>
      <c r="I84" s="6">
        <v>216.49</v>
      </c>
      <c r="J84" s="6"/>
      <c r="K84" s="3">
        <v>0</v>
      </c>
      <c r="L84" s="4" t="s">
        <v>1964</v>
      </c>
    </row>
    <row r="85" spans="1:12" x14ac:dyDescent="0.2">
      <c r="A85" s="3">
        <v>1260</v>
      </c>
      <c r="B85" s="4" t="s">
        <v>1964</v>
      </c>
      <c r="C85" s="5">
        <v>0</v>
      </c>
      <c r="D85" s="4" t="s">
        <v>1964</v>
      </c>
      <c r="E85" s="3"/>
      <c r="F85" s="4" t="s">
        <v>1964</v>
      </c>
      <c r="G85" s="6"/>
      <c r="H85" s="6"/>
      <c r="I85" s="6"/>
      <c r="J85" s="6"/>
      <c r="K85" s="3"/>
      <c r="L85" s="4" t="s">
        <v>1964</v>
      </c>
    </row>
    <row r="86" spans="1:12" x14ac:dyDescent="0.2">
      <c r="A86" s="3">
        <v>1280</v>
      </c>
      <c r="B86" s="4" t="s">
        <v>2049</v>
      </c>
      <c r="C86" s="5">
        <v>0</v>
      </c>
      <c r="D86" s="4" t="s">
        <v>1964</v>
      </c>
      <c r="E86" s="3">
        <v>1100</v>
      </c>
      <c r="F86" s="4" t="s">
        <v>1992</v>
      </c>
      <c r="G86" s="6">
        <v>52055.99</v>
      </c>
      <c r="H86" s="6">
        <v>164006.82</v>
      </c>
      <c r="I86" s="6">
        <v>606428.88</v>
      </c>
      <c r="J86" s="6">
        <v>1941547.15</v>
      </c>
      <c r="K86" s="3">
        <v>1</v>
      </c>
      <c r="L86" s="4" t="s">
        <v>1964</v>
      </c>
    </row>
    <row r="87" spans="1:12" x14ac:dyDescent="0.2">
      <c r="A87" s="3">
        <v>1280</v>
      </c>
      <c r="B87" s="4" t="s">
        <v>1964</v>
      </c>
      <c r="C87" s="5">
        <v>0</v>
      </c>
      <c r="D87" s="4" t="s">
        <v>1964</v>
      </c>
      <c r="E87" s="3">
        <v>1150</v>
      </c>
      <c r="F87" s="4" t="s">
        <v>2001</v>
      </c>
      <c r="G87" s="6">
        <v>8134.82</v>
      </c>
      <c r="H87" s="6"/>
      <c r="I87" s="6">
        <v>89299.95</v>
      </c>
      <c r="J87" s="6"/>
      <c r="K87" s="3">
        <v>1</v>
      </c>
      <c r="L87" s="4" t="s">
        <v>1964</v>
      </c>
    </row>
    <row r="88" spans="1:12" x14ac:dyDescent="0.2">
      <c r="A88" s="3">
        <v>1280</v>
      </c>
      <c r="B88" s="4" t="s">
        <v>1964</v>
      </c>
      <c r="C88" s="5">
        <v>0</v>
      </c>
      <c r="D88" s="4" t="s">
        <v>1964</v>
      </c>
      <c r="E88" s="3">
        <v>1180</v>
      </c>
      <c r="F88" s="4" t="s">
        <v>2007</v>
      </c>
      <c r="G88" s="6">
        <v>1415.83</v>
      </c>
      <c r="H88" s="6"/>
      <c r="I88" s="6">
        <v>20955.98</v>
      </c>
      <c r="J88" s="6"/>
      <c r="K88" s="3">
        <v>1</v>
      </c>
      <c r="L88" s="4" t="s">
        <v>1964</v>
      </c>
    </row>
    <row r="89" spans="1:12" x14ac:dyDescent="0.2">
      <c r="A89" s="3">
        <v>1280</v>
      </c>
      <c r="B89" s="4" t="s">
        <v>1964</v>
      </c>
      <c r="C89" s="5">
        <v>0</v>
      </c>
      <c r="D89" s="4" t="s">
        <v>1964</v>
      </c>
      <c r="E89" s="3">
        <v>1200</v>
      </c>
      <c r="F89" s="4" t="s">
        <v>2009</v>
      </c>
      <c r="G89" s="6">
        <v>1270.9000000000001</v>
      </c>
      <c r="H89" s="6"/>
      <c r="I89" s="6">
        <v>23426.13</v>
      </c>
      <c r="J89" s="6"/>
      <c r="K89" s="3">
        <v>1</v>
      </c>
      <c r="L89" s="4" t="s">
        <v>1964</v>
      </c>
    </row>
    <row r="90" spans="1:12" x14ac:dyDescent="0.2">
      <c r="A90" s="3">
        <v>1280</v>
      </c>
      <c r="B90" s="4" t="s">
        <v>1964</v>
      </c>
      <c r="C90" s="5">
        <v>0</v>
      </c>
      <c r="D90" s="4" t="s">
        <v>1964</v>
      </c>
      <c r="E90" s="3">
        <v>1220</v>
      </c>
      <c r="F90" s="4" t="s">
        <v>2025</v>
      </c>
      <c r="G90" s="6">
        <v>40808.74</v>
      </c>
      <c r="H90" s="6"/>
      <c r="I90" s="6">
        <v>577945.42000000004</v>
      </c>
      <c r="J90" s="6"/>
      <c r="K90" s="3">
        <v>1</v>
      </c>
      <c r="L90" s="4" t="s">
        <v>1964</v>
      </c>
    </row>
    <row r="91" spans="1:12" x14ac:dyDescent="0.2">
      <c r="A91" s="3">
        <v>1280</v>
      </c>
      <c r="B91" s="4" t="s">
        <v>1964</v>
      </c>
      <c r="C91" s="5">
        <v>0</v>
      </c>
      <c r="D91" s="4" t="s">
        <v>1964</v>
      </c>
      <c r="E91" s="3">
        <v>1240</v>
      </c>
      <c r="F91" s="4" t="s">
        <v>2029</v>
      </c>
      <c r="G91" s="6">
        <v>16358.26</v>
      </c>
      <c r="H91" s="6"/>
      <c r="I91" s="6">
        <v>195361.89</v>
      </c>
      <c r="J91" s="6"/>
      <c r="K91" s="3">
        <v>1</v>
      </c>
      <c r="L91" s="4" t="s">
        <v>1964</v>
      </c>
    </row>
    <row r="92" spans="1:12" x14ac:dyDescent="0.2">
      <c r="A92" s="3">
        <v>1280</v>
      </c>
      <c r="B92" s="4" t="s">
        <v>1964</v>
      </c>
      <c r="C92" s="5">
        <v>0</v>
      </c>
      <c r="D92" s="4" t="s">
        <v>1964</v>
      </c>
      <c r="E92" s="3">
        <v>1260</v>
      </c>
      <c r="F92" s="4" t="s">
        <v>2034</v>
      </c>
      <c r="G92" s="6">
        <v>43962.28</v>
      </c>
      <c r="H92" s="6"/>
      <c r="I92" s="6">
        <v>428128.9</v>
      </c>
      <c r="J92" s="6"/>
      <c r="K92" s="3">
        <v>1</v>
      </c>
      <c r="L92" s="4" t="s">
        <v>1964</v>
      </c>
    </row>
    <row r="93" spans="1:12" x14ac:dyDescent="0.2">
      <c r="A93" s="3">
        <v>1280</v>
      </c>
      <c r="B93" s="4" t="s">
        <v>1964</v>
      </c>
      <c r="C93" s="5">
        <v>0</v>
      </c>
      <c r="D93" s="4" t="s">
        <v>1964</v>
      </c>
      <c r="E93" s="3"/>
      <c r="F93" s="4" t="s">
        <v>1964</v>
      </c>
      <c r="G93" s="6"/>
      <c r="H93" s="6"/>
      <c r="I93" s="6"/>
      <c r="J93" s="6"/>
      <c r="K93" s="3"/>
      <c r="L93" s="4" t="s">
        <v>1964</v>
      </c>
    </row>
    <row r="94" spans="1:12" x14ac:dyDescent="0.2">
      <c r="A94" s="3">
        <v>1300</v>
      </c>
      <c r="B94" s="4" t="s">
        <v>2050</v>
      </c>
      <c r="C94" s="5">
        <v>0</v>
      </c>
      <c r="D94" s="4" t="s">
        <v>1964</v>
      </c>
      <c r="E94" s="3">
        <v>1092</v>
      </c>
      <c r="F94" s="4" t="s">
        <v>1991</v>
      </c>
      <c r="G94" s="6">
        <v>179909.74</v>
      </c>
      <c r="H94" s="6">
        <v>15902.92</v>
      </c>
      <c r="I94" s="6">
        <v>1591153.41</v>
      </c>
      <c r="J94" s="6">
        <v>-350393.74</v>
      </c>
      <c r="K94" s="3">
        <v>2</v>
      </c>
      <c r="L94" s="4" t="s">
        <v>1964</v>
      </c>
    </row>
    <row r="95" spans="1:12" x14ac:dyDescent="0.2">
      <c r="A95" s="3">
        <v>1300</v>
      </c>
      <c r="B95" s="4" t="s">
        <v>1964</v>
      </c>
      <c r="C95" s="5">
        <v>0</v>
      </c>
      <c r="D95" s="4" t="s">
        <v>1964</v>
      </c>
      <c r="E95" s="3">
        <v>1280</v>
      </c>
      <c r="F95" s="4" t="s">
        <v>2049</v>
      </c>
      <c r="G95" s="6">
        <v>164006.82</v>
      </c>
      <c r="H95" s="6"/>
      <c r="I95" s="6">
        <v>1941547.15</v>
      </c>
      <c r="J95" s="6"/>
      <c r="K95" s="3">
        <v>2</v>
      </c>
      <c r="L95" s="4" t="s">
        <v>1964</v>
      </c>
    </row>
    <row r="96" spans="1:12" x14ac:dyDescent="0.2">
      <c r="A96" s="3">
        <v>1300</v>
      </c>
      <c r="B96" s="4" t="s">
        <v>1964</v>
      </c>
      <c r="C96" s="5">
        <v>0</v>
      </c>
      <c r="D96" s="4" t="s">
        <v>1964</v>
      </c>
      <c r="E96" s="3"/>
      <c r="F96" s="4" t="s">
        <v>1964</v>
      </c>
      <c r="G96" s="6"/>
      <c r="H96" s="6"/>
      <c r="I96" s="6"/>
      <c r="J96" s="6"/>
      <c r="K96" s="3"/>
      <c r="L96" s="4" t="s">
        <v>1964</v>
      </c>
    </row>
    <row r="97" spans="1:12" x14ac:dyDescent="0.2">
      <c r="A97" s="3">
        <v>1312</v>
      </c>
      <c r="B97" s="4" t="s">
        <v>2051</v>
      </c>
      <c r="C97" s="5">
        <v>6969</v>
      </c>
      <c r="D97" s="4" t="s">
        <v>1981</v>
      </c>
      <c r="E97" s="3"/>
      <c r="F97" s="4" t="s">
        <v>2052</v>
      </c>
      <c r="G97" s="6">
        <v>26246.55</v>
      </c>
      <c r="H97" s="6">
        <v>26246.55</v>
      </c>
      <c r="I97" s="6">
        <v>26246.55</v>
      </c>
      <c r="J97" s="6">
        <v>26246.55</v>
      </c>
      <c r="K97" s="3">
        <v>0</v>
      </c>
      <c r="L97" s="4" t="s">
        <v>1964</v>
      </c>
    </row>
    <row r="98" spans="1:12" x14ac:dyDescent="0.2">
      <c r="A98" s="3">
        <v>1312</v>
      </c>
      <c r="B98" s="4" t="s">
        <v>1964</v>
      </c>
      <c r="C98" s="5">
        <v>0</v>
      </c>
      <c r="D98" s="4" t="s">
        <v>1964</v>
      </c>
      <c r="E98" s="3"/>
      <c r="F98" s="4" t="s">
        <v>1964</v>
      </c>
      <c r="G98" s="6"/>
      <c r="H98" s="6"/>
      <c r="I98" s="6"/>
      <c r="J98" s="6"/>
      <c r="K98" s="3"/>
      <c r="L98" s="4" t="s">
        <v>1964</v>
      </c>
    </row>
    <row r="99" spans="1:12" x14ac:dyDescent="0.2">
      <c r="A99" s="3">
        <v>1320</v>
      </c>
      <c r="B99" s="4" t="s">
        <v>2053</v>
      </c>
      <c r="C99" s="5">
        <v>0</v>
      </c>
      <c r="D99" s="4" t="s">
        <v>1964</v>
      </c>
      <c r="E99" s="3">
        <v>1312</v>
      </c>
      <c r="F99" s="4" t="s">
        <v>2051</v>
      </c>
      <c r="G99" s="6">
        <v>26246.55</v>
      </c>
      <c r="H99" s="6">
        <v>26246.55</v>
      </c>
      <c r="I99" s="6">
        <v>26246.55</v>
      </c>
      <c r="J99" s="6">
        <v>26246.55</v>
      </c>
      <c r="K99" s="3">
        <v>1</v>
      </c>
      <c r="L99" s="4" t="s">
        <v>1964</v>
      </c>
    </row>
    <row r="100" spans="1:12" x14ac:dyDescent="0.2">
      <c r="A100" s="3">
        <v>1320</v>
      </c>
      <c r="B100" s="4" t="s">
        <v>1964</v>
      </c>
      <c r="C100" s="5">
        <v>0</v>
      </c>
      <c r="D100" s="4" t="s">
        <v>1964</v>
      </c>
      <c r="E100" s="3"/>
      <c r="F100" s="4" t="s">
        <v>1964</v>
      </c>
      <c r="G100" s="6"/>
      <c r="H100" s="6"/>
      <c r="I100" s="6"/>
      <c r="J100" s="6"/>
      <c r="K100" s="3"/>
      <c r="L100" s="4" t="s">
        <v>1964</v>
      </c>
    </row>
    <row r="101" spans="1:12" x14ac:dyDescent="0.2">
      <c r="A101" s="3">
        <v>1322</v>
      </c>
      <c r="B101" s="4" t="s">
        <v>2054</v>
      </c>
      <c r="C101" s="5">
        <v>7100</v>
      </c>
      <c r="D101" s="4" t="s">
        <v>1971</v>
      </c>
      <c r="E101" s="3"/>
      <c r="F101" s="4" t="s">
        <v>2055</v>
      </c>
      <c r="G101" s="6">
        <v>0</v>
      </c>
      <c r="H101" s="6">
        <v>0</v>
      </c>
      <c r="I101" s="6">
        <v>21.1</v>
      </c>
      <c r="J101" s="6">
        <v>21.1</v>
      </c>
      <c r="K101" s="3">
        <v>0</v>
      </c>
      <c r="L101" s="4" t="s">
        <v>1964</v>
      </c>
    </row>
    <row r="102" spans="1:12" x14ac:dyDescent="0.2">
      <c r="A102" s="3">
        <v>1322</v>
      </c>
      <c r="B102" s="4" t="s">
        <v>1964</v>
      </c>
      <c r="C102" s="5">
        <v>0</v>
      </c>
      <c r="D102" s="4" t="s">
        <v>1964</v>
      </c>
      <c r="E102" s="3"/>
      <c r="F102" s="4" t="s">
        <v>1964</v>
      </c>
      <c r="G102" s="6"/>
      <c r="H102" s="6"/>
      <c r="I102" s="6"/>
      <c r="J102" s="6"/>
      <c r="K102" s="3"/>
      <c r="L102" s="4" t="s">
        <v>1964</v>
      </c>
    </row>
    <row r="103" spans="1:12" x14ac:dyDescent="0.2">
      <c r="A103" s="3">
        <v>1323</v>
      </c>
      <c r="B103" s="4" t="s">
        <v>2056</v>
      </c>
      <c r="C103" s="5">
        <v>4930</v>
      </c>
      <c r="D103" s="4" t="s">
        <v>1971</v>
      </c>
      <c r="E103" s="3"/>
      <c r="F103" s="4" t="s">
        <v>2057</v>
      </c>
      <c r="G103" s="6">
        <v>0</v>
      </c>
      <c r="H103" s="6">
        <v>696.7</v>
      </c>
      <c r="I103" s="6">
        <v>177.25</v>
      </c>
      <c r="J103" s="6">
        <v>2527.91</v>
      </c>
      <c r="K103" s="3">
        <v>0</v>
      </c>
      <c r="L103" s="4" t="s">
        <v>1964</v>
      </c>
    </row>
    <row r="104" spans="1:12" x14ac:dyDescent="0.2">
      <c r="A104" s="3">
        <v>1323</v>
      </c>
      <c r="B104" s="4" t="s">
        <v>1964</v>
      </c>
      <c r="C104" s="5">
        <v>4972</v>
      </c>
      <c r="D104" s="4" t="s">
        <v>1971</v>
      </c>
      <c r="E104" s="3"/>
      <c r="F104" s="4" t="s">
        <v>2058</v>
      </c>
      <c r="G104" s="6">
        <v>696.7</v>
      </c>
      <c r="H104" s="6"/>
      <c r="I104" s="6">
        <v>2350.66</v>
      </c>
      <c r="J104" s="6"/>
      <c r="K104" s="3">
        <v>0</v>
      </c>
      <c r="L104" s="4" t="s">
        <v>1964</v>
      </c>
    </row>
    <row r="105" spans="1:12" x14ac:dyDescent="0.2">
      <c r="A105" s="3">
        <v>1323</v>
      </c>
      <c r="B105" s="4" t="s">
        <v>1964</v>
      </c>
      <c r="C105" s="5">
        <v>0</v>
      </c>
      <c r="D105" s="4" t="s">
        <v>1964</v>
      </c>
      <c r="E105" s="3"/>
      <c r="F105" s="4" t="s">
        <v>1964</v>
      </c>
      <c r="G105" s="6"/>
      <c r="H105" s="6"/>
      <c r="I105" s="6"/>
      <c r="J105" s="6"/>
      <c r="K105" s="3"/>
      <c r="L105" s="4" t="s">
        <v>1964</v>
      </c>
    </row>
    <row r="106" spans="1:12" x14ac:dyDescent="0.2">
      <c r="A106" s="3">
        <v>1330</v>
      </c>
      <c r="B106" s="4" t="s">
        <v>2059</v>
      </c>
      <c r="C106" s="5">
        <v>0</v>
      </c>
      <c r="D106" s="4" t="s">
        <v>1964</v>
      </c>
      <c r="E106" s="3">
        <v>1322</v>
      </c>
      <c r="F106" s="4" t="s">
        <v>2054</v>
      </c>
      <c r="G106" s="6">
        <v>0</v>
      </c>
      <c r="H106" s="6">
        <v>696.7</v>
      </c>
      <c r="I106" s="6">
        <v>21.1</v>
      </c>
      <c r="J106" s="6">
        <v>2549.0100000000002</v>
      </c>
      <c r="K106" s="3">
        <v>1</v>
      </c>
      <c r="L106" s="4" t="s">
        <v>1964</v>
      </c>
    </row>
    <row r="107" spans="1:12" x14ac:dyDescent="0.2">
      <c r="A107" s="3">
        <v>1330</v>
      </c>
      <c r="B107" s="4" t="s">
        <v>1964</v>
      </c>
      <c r="C107" s="5">
        <v>0</v>
      </c>
      <c r="D107" s="4" t="s">
        <v>1964</v>
      </c>
      <c r="E107" s="3">
        <v>1323</v>
      </c>
      <c r="F107" s="4" t="s">
        <v>2056</v>
      </c>
      <c r="G107" s="6">
        <v>696.7</v>
      </c>
      <c r="H107" s="6"/>
      <c r="I107" s="6">
        <v>2527.91</v>
      </c>
      <c r="J107" s="6"/>
      <c r="K107" s="3">
        <v>1</v>
      </c>
      <c r="L107" s="4" t="s">
        <v>1964</v>
      </c>
    </row>
    <row r="108" spans="1:12" x14ac:dyDescent="0.2">
      <c r="A108" s="3">
        <v>1330</v>
      </c>
      <c r="B108" s="4" t="s">
        <v>1964</v>
      </c>
      <c r="C108" s="5">
        <v>0</v>
      </c>
      <c r="D108" s="4" t="s">
        <v>1964</v>
      </c>
      <c r="E108" s="3"/>
      <c r="F108" s="4" t="s">
        <v>1964</v>
      </c>
      <c r="G108" s="6"/>
      <c r="H108" s="6"/>
      <c r="I108" s="6"/>
      <c r="J108" s="6"/>
      <c r="K108" s="3"/>
      <c r="L108" s="4" t="s">
        <v>1964</v>
      </c>
    </row>
    <row r="109" spans="1:12" x14ac:dyDescent="0.2">
      <c r="A109" s="3">
        <v>1345</v>
      </c>
      <c r="B109" s="4" t="s">
        <v>2060</v>
      </c>
      <c r="C109" s="5">
        <v>0</v>
      </c>
      <c r="D109" s="4" t="s">
        <v>1964</v>
      </c>
      <c r="E109" s="3">
        <v>1300</v>
      </c>
      <c r="F109" s="4" t="s">
        <v>2050</v>
      </c>
      <c r="G109" s="6">
        <v>15902.92</v>
      </c>
      <c r="H109" s="6">
        <v>-9646.93</v>
      </c>
      <c r="I109" s="6">
        <v>-350393.74</v>
      </c>
      <c r="J109" s="6">
        <v>-374091.28</v>
      </c>
      <c r="K109" s="3">
        <v>2</v>
      </c>
      <c r="L109" s="4" t="s">
        <v>1964</v>
      </c>
    </row>
    <row r="110" spans="1:12" x14ac:dyDescent="0.2">
      <c r="A110" s="3">
        <v>1345</v>
      </c>
      <c r="B110" s="4" t="s">
        <v>1964</v>
      </c>
      <c r="C110" s="5">
        <v>0</v>
      </c>
      <c r="D110" s="4" t="s">
        <v>1964</v>
      </c>
      <c r="E110" s="3">
        <v>1320</v>
      </c>
      <c r="F110" s="4" t="s">
        <v>2053</v>
      </c>
      <c r="G110" s="6">
        <v>26246.55</v>
      </c>
      <c r="H110" s="6"/>
      <c r="I110" s="6">
        <v>26246.55</v>
      </c>
      <c r="J110" s="6"/>
      <c r="K110" s="3">
        <v>2</v>
      </c>
      <c r="L110" s="4" t="s">
        <v>1964</v>
      </c>
    </row>
    <row r="111" spans="1:12" x14ac:dyDescent="0.2">
      <c r="A111" s="3">
        <v>1345</v>
      </c>
      <c r="B111" s="4" t="s">
        <v>1964</v>
      </c>
      <c r="C111" s="5">
        <v>0</v>
      </c>
      <c r="D111" s="4" t="s">
        <v>1964</v>
      </c>
      <c r="E111" s="3">
        <v>1330</v>
      </c>
      <c r="F111" s="4" t="s">
        <v>2059</v>
      </c>
      <c r="G111" s="6">
        <v>696.7</v>
      </c>
      <c r="H111" s="6"/>
      <c r="I111" s="6">
        <v>2549.0100000000002</v>
      </c>
      <c r="J111" s="6"/>
      <c r="K111" s="3">
        <v>1</v>
      </c>
      <c r="L111" s="4" t="s">
        <v>1964</v>
      </c>
    </row>
    <row r="112" spans="1:12" x14ac:dyDescent="0.2">
      <c r="A112" s="3">
        <v>1345</v>
      </c>
      <c r="B112" s="4" t="s">
        <v>1964</v>
      </c>
      <c r="C112" s="5">
        <v>0</v>
      </c>
      <c r="D112" s="4" t="s">
        <v>1964</v>
      </c>
      <c r="E112" s="3"/>
      <c r="F112" s="4" t="s">
        <v>1964</v>
      </c>
      <c r="G112" s="6"/>
      <c r="H112" s="6"/>
      <c r="I112" s="6"/>
      <c r="J112" s="6"/>
      <c r="K112" s="3"/>
      <c r="L112" s="4" t="s">
        <v>1964</v>
      </c>
    </row>
    <row r="113" spans="1:12" x14ac:dyDescent="0.2">
      <c r="A113" s="3">
        <v>1380</v>
      </c>
      <c r="B113" s="4" t="s">
        <v>2061</v>
      </c>
      <c r="C113" s="5">
        <v>0</v>
      </c>
      <c r="D113" s="4" t="s">
        <v>1964</v>
      </c>
      <c r="E113" s="3">
        <v>1345</v>
      </c>
      <c r="F113" s="4" t="s">
        <v>2060</v>
      </c>
      <c r="G113" s="6">
        <v>-9646.93</v>
      </c>
      <c r="H113" s="6">
        <v>-9646.93</v>
      </c>
      <c r="I113" s="6">
        <v>-374091.28</v>
      </c>
      <c r="J113" s="6">
        <v>-374091.28</v>
      </c>
      <c r="K113" s="3">
        <v>2</v>
      </c>
      <c r="L113" s="4" t="s">
        <v>1964</v>
      </c>
    </row>
    <row r="114" spans="1:12" x14ac:dyDescent="0.2">
      <c r="A114" s="3">
        <v>1380</v>
      </c>
      <c r="B114" s="4" t="s">
        <v>1964</v>
      </c>
      <c r="C114" s="5">
        <v>0</v>
      </c>
      <c r="D114" s="4" t="s">
        <v>1964</v>
      </c>
      <c r="E114" s="3">
        <v>1355</v>
      </c>
      <c r="F114" s="4" t="s">
        <v>2062</v>
      </c>
      <c r="G114" s="6">
        <v>0</v>
      </c>
      <c r="H114" s="6"/>
      <c r="I114" s="6">
        <v>0</v>
      </c>
      <c r="J114" s="6"/>
      <c r="K114" s="3">
        <v>2</v>
      </c>
      <c r="L114" s="4" t="s">
        <v>1964</v>
      </c>
    </row>
  </sheetData>
  <mergeCells count="1">
    <mergeCell ref="A1:L1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AD597-D9B4-49E8-91CF-12648D267E1E}">
  <sheetPr>
    <tabColor theme="3" tint="0.749992370372631"/>
  </sheetPr>
  <dimension ref="A1:D17"/>
  <sheetViews>
    <sheetView workbookViewId="0">
      <selection activeCell="L22" sqref="L22"/>
    </sheetView>
  </sheetViews>
  <sheetFormatPr baseColWidth="10" defaultColWidth="11.5" defaultRowHeight="15" x14ac:dyDescent="0.2"/>
  <cols>
    <col min="1" max="1" width="15.6640625" bestFit="1" customWidth="1"/>
    <col min="2" max="2" width="13.6640625" bestFit="1" customWidth="1"/>
    <col min="3" max="3" width="20.6640625" bestFit="1" customWidth="1"/>
  </cols>
  <sheetData>
    <row r="1" spans="1:4" x14ac:dyDescent="0.2">
      <c r="A1" s="1" t="s">
        <v>2063</v>
      </c>
      <c r="B1" s="1" t="s">
        <v>2064</v>
      </c>
      <c r="C1" s="1" t="s">
        <v>2065</v>
      </c>
      <c r="D1" s="1" t="s">
        <v>2066</v>
      </c>
    </row>
    <row r="2" spans="1:4" x14ac:dyDescent="0.2">
      <c r="A2">
        <v>200</v>
      </c>
      <c r="B2" s="4" t="s">
        <v>2067</v>
      </c>
      <c r="C2" s="4" t="s">
        <v>2068</v>
      </c>
      <c r="D2" s="4" t="s">
        <v>1964</v>
      </c>
    </row>
    <row r="3" spans="1:4" x14ac:dyDescent="0.2">
      <c r="A3">
        <v>201</v>
      </c>
      <c r="B3" s="4" t="s">
        <v>2069</v>
      </c>
      <c r="C3" s="4" t="s">
        <v>2070</v>
      </c>
      <c r="D3" s="4" t="s">
        <v>1964</v>
      </c>
    </row>
    <row r="4" spans="1:4" x14ac:dyDescent="0.2">
      <c r="A4">
        <v>202</v>
      </c>
      <c r="B4" s="4" t="s">
        <v>2071</v>
      </c>
      <c r="C4" s="4" t="s">
        <v>2071</v>
      </c>
      <c r="D4" s="4" t="s">
        <v>1964</v>
      </c>
    </row>
    <row r="5" spans="1:4" x14ac:dyDescent="0.2">
      <c r="A5">
        <v>210</v>
      </c>
      <c r="B5" s="4" t="s">
        <v>2072</v>
      </c>
      <c r="C5" s="4" t="s">
        <v>2073</v>
      </c>
      <c r="D5" s="4" t="s">
        <v>1964</v>
      </c>
    </row>
    <row r="6" spans="1:4" x14ac:dyDescent="0.2">
      <c r="A6">
        <v>220</v>
      </c>
      <c r="B6" s="4" t="s">
        <v>2074</v>
      </c>
      <c r="C6" s="4" t="s">
        <v>2074</v>
      </c>
      <c r="D6" s="4" t="s">
        <v>1964</v>
      </c>
    </row>
    <row r="7" spans="1:4" x14ac:dyDescent="0.2">
      <c r="A7">
        <v>230</v>
      </c>
      <c r="B7" s="4" t="s">
        <v>2075</v>
      </c>
      <c r="C7" s="4" t="s">
        <v>2075</v>
      </c>
      <c r="D7" s="4" t="s">
        <v>1964</v>
      </c>
    </row>
    <row r="8" spans="1:4" x14ac:dyDescent="0.2">
      <c r="A8">
        <v>235</v>
      </c>
      <c r="B8" s="4" t="s">
        <v>2076</v>
      </c>
      <c r="C8" s="4" t="s">
        <v>2076</v>
      </c>
      <c r="D8" s="4" t="s">
        <v>1964</v>
      </c>
    </row>
    <row r="9" spans="1:4" x14ac:dyDescent="0.2">
      <c r="A9">
        <v>240</v>
      </c>
      <c r="B9" s="4" t="s">
        <v>351</v>
      </c>
      <c r="C9" s="4" t="s">
        <v>351</v>
      </c>
      <c r="D9" s="4" t="s">
        <v>1964</v>
      </c>
    </row>
    <row r="10" spans="1:4" x14ac:dyDescent="0.2">
      <c r="A10">
        <v>2001</v>
      </c>
      <c r="B10" s="4" t="s">
        <v>2077</v>
      </c>
      <c r="C10" s="4" t="s">
        <v>2077</v>
      </c>
      <c r="D10" s="4" t="s">
        <v>1964</v>
      </c>
    </row>
    <row r="11" spans="1:4" x14ac:dyDescent="0.2">
      <c r="A11">
        <v>2003</v>
      </c>
      <c r="B11" s="4" t="s">
        <v>2078</v>
      </c>
      <c r="C11" s="4" t="s">
        <v>2078</v>
      </c>
      <c r="D11" s="4" t="s">
        <v>1964</v>
      </c>
    </row>
    <row r="12" spans="1:4" x14ac:dyDescent="0.2">
      <c r="A12">
        <v>2011</v>
      </c>
      <c r="B12" s="4" t="s">
        <v>2079</v>
      </c>
      <c r="C12" s="4" t="s">
        <v>2080</v>
      </c>
      <c r="D12" s="4" t="s">
        <v>1964</v>
      </c>
    </row>
    <row r="13" spans="1:4" x14ac:dyDescent="0.2">
      <c r="A13">
        <v>2012</v>
      </c>
      <c r="B13" s="4" t="s">
        <v>2081</v>
      </c>
      <c r="C13" s="4" t="s">
        <v>2082</v>
      </c>
      <c r="D13" s="4" t="s">
        <v>1964</v>
      </c>
    </row>
    <row r="14" spans="1:4" x14ac:dyDescent="0.2">
      <c r="A14">
        <v>2014</v>
      </c>
      <c r="B14" s="4" t="s">
        <v>2083</v>
      </c>
      <c r="C14" s="4" t="s">
        <v>2084</v>
      </c>
      <c r="D14" s="4" t="s">
        <v>1964</v>
      </c>
    </row>
    <row r="15" spans="1:4" x14ac:dyDescent="0.2">
      <c r="A15">
        <v>2015</v>
      </c>
      <c r="B15" s="4" t="s">
        <v>2085</v>
      </c>
      <c r="C15" s="4" t="s">
        <v>2086</v>
      </c>
      <c r="D15" s="4" t="s">
        <v>1964</v>
      </c>
    </row>
    <row r="16" spans="1:4" x14ac:dyDescent="0.2">
      <c r="A16">
        <v>2017</v>
      </c>
      <c r="B16" s="4" t="s">
        <v>2087</v>
      </c>
      <c r="C16" s="4" t="s">
        <v>2088</v>
      </c>
      <c r="D16" s="4" t="s">
        <v>1964</v>
      </c>
    </row>
    <row r="17" spans="1:4" x14ac:dyDescent="0.2">
      <c r="A17">
        <v>2018</v>
      </c>
      <c r="B17" s="4" t="s">
        <v>2089</v>
      </c>
      <c r="C17" s="4" t="s">
        <v>2089</v>
      </c>
      <c r="D17" s="4" t="s">
        <v>1964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Buchungen</vt:lpstr>
      <vt:lpstr>BWA</vt:lpstr>
      <vt:lpstr>Kostenstellen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Tatjana Osmakova</dc:creator>
  <cp:keywords/>
  <dc:description/>
  <cp:lastModifiedBy>Maciej Przybycień</cp:lastModifiedBy>
  <cp:revision/>
  <dcterms:created xsi:type="dcterms:W3CDTF">2026-02-13T15:51:37Z</dcterms:created>
  <dcterms:modified xsi:type="dcterms:W3CDTF">2026-02-16T16:25:12Z</dcterms:modified>
  <cp:category/>
  <cp:contentStatus/>
</cp:coreProperties>
</file>